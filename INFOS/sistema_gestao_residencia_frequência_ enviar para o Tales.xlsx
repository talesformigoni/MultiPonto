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uliana.souza\Documents\RESIDÊNCIA MULTIPROFISSIONAL\"/>
    </mc:Choice>
  </mc:AlternateContent>
  <xr:revisionPtr revIDLastSave="0" documentId="8_{9B5CA711-2248-4BC5-9069-FCCF6517DA10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Home" sheetId="1" r:id="rId1"/>
    <sheet name="Configurações" sheetId="2" r:id="rId2"/>
    <sheet name="Cadastro" sheetId="3" r:id="rId3"/>
    <sheet name="Preceptores" sheetId="4" r:id="rId4"/>
    <sheet name="Cenários" sheetId="5" r:id="rId5"/>
    <sheet name="Frequencia" sheetId="6" r:id="rId6"/>
    <sheet name="Dashboard" sheetId="7" r:id="rId7"/>
    <sheet name="Relatorio_Individual" sheetId="8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30" i="6" l="1"/>
  <c r="E130" i="6"/>
  <c r="C130" i="6"/>
  <c r="B130" i="6"/>
  <c r="F129" i="6"/>
  <c r="E129" i="6"/>
  <c r="C129" i="6"/>
  <c r="B129" i="6"/>
  <c r="F128" i="6"/>
  <c r="E128" i="6"/>
  <c r="C128" i="6"/>
  <c r="B128" i="6"/>
  <c r="F127" i="6"/>
  <c r="E127" i="6"/>
  <c r="C127" i="6"/>
  <c r="B127" i="6"/>
  <c r="F126" i="6"/>
  <c r="E126" i="6"/>
  <c r="C126" i="6"/>
  <c r="B126" i="6"/>
  <c r="F125" i="6"/>
  <c r="E125" i="6"/>
  <c r="C125" i="6"/>
  <c r="B125" i="6"/>
  <c r="F124" i="6"/>
  <c r="E124" i="6"/>
  <c r="C124" i="6"/>
  <c r="B124" i="6"/>
  <c r="F123" i="6"/>
  <c r="E123" i="6"/>
  <c r="C123" i="6"/>
  <c r="B123" i="6"/>
  <c r="F122" i="6"/>
  <c r="E122" i="6"/>
  <c r="C122" i="6"/>
  <c r="B122" i="6"/>
  <c r="F121" i="6"/>
  <c r="E121" i="6"/>
  <c r="C121" i="6"/>
  <c r="B121" i="6"/>
  <c r="F120" i="6"/>
  <c r="E120" i="6"/>
  <c r="C120" i="6"/>
  <c r="B120" i="6"/>
  <c r="F119" i="6"/>
  <c r="E119" i="6"/>
  <c r="C119" i="6"/>
  <c r="B119" i="6"/>
  <c r="F118" i="6"/>
  <c r="E118" i="6"/>
  <c r="C118" i="6"/>
  <c r="B118" i="6"/>
  <c r="F117" i="6"/>
  <c r="E117" i="6"/>
  <c r="C117" i="6"/>
  <c r="B117" i="6"/>
  <c r="F116" i="6"/>
  <c r="E116" i="6"/>
  <c r="C116" i="6"/>
  <c r="B116" i="6"/>
  <c r="F115" i="6"/>
  <c r="E115" i="6"/>
  <c r="C115" i="6"/>
  <c r="B115" i="6"/>
  <c r="F114" i="6"/>
  <c r="E114" i="6"/>
  <c r="C114" i="6"/>
  <c r="B114" i="6"/>
  <c r="F113" i="6"/>
  <c r="E113" i="6"/>
  <c r="C113" i="6"/>
  <c r="B113" i="6"/>
  <c r="F112" i="6"/>
  <c r="E112" i="6"/>
  <c r="C112" i="6"/>
  <c r="B112" i="6"/>
  <c r="F111" i="6"/>
  <c r="E111" i="6"/>
  <c r="C111" i="6"/>
  <c r="B111" i="6"/>
  <c r="F110" i="6"/>
  <c r="E110" i="6"/>
  <c r="C110" i="6"/>
  <c r="B110" i="6"/>
  <c r="F109" i="6"/>
  <c r="E109" i="6"/>
  <c r="C109" i="6"/>
  <c r="B109" i="6"/>
  <c r="F108" i="6"/>
  <c r="E108" i="6"/>
  <c r="C108" i="6"/>
  <c r="B108" i="6"/>
  <c r="F98" i="6"/>
  <c r="E98" i="6"/>
  <c r="C98" i="6"/>
  <c r="B98" i="6"/>
  <c r="F97" i="6"/>
  <c r="E97" i="6"/>
  <c r="C97" i="6"/>
  <c r="B97" i="6"/>
  <c r="F96" i="6"/>
  <c r="E96" i="6"/>
  <c r="C96" i="6"/>
  <c r="B96" i="6"/>
  <c r="F95" i="6"/>
  <c r="E95" i="6"/>
  <c r="C95" i="6"/>
  <c r="B95" i="6"/>
  <c r="F94" i="6"/>
  <c r="E94" i="6"/>
  <c r="C94" i="6"/>
  <c r="B94" i="6"/>
  <c r="F93" i="6"/>
  <c r="E93" i="6"/>
  <c r="C93" i="6"/>
  <c r="B93" i="6"/>
  <c r="F92" i="6"/>
  <c r="E92" i="6"/>
  <c r="C92" i="6"/>
  <c r="B92" i="6"/>
  <c r="F91" i="6"/>
  <c r="E91" i="6"/>
  <c r="C91" i="6"/>
  <c r="B91" i="6"/>
  <c r="F90" i="6"/>
  <c r="E90" i="6"/>
  <c r="C90" i="6"/>
  <c r="B90" i="6"/>
  <c r="F89" i="6"/>
  <c r="E89" i="6"/>
  <c r="C89" i="6"/>
  <c r="B89" i="6"/>
  <c r="F88" i="6"/>
  <c r="E88" i="6"/>
  <c r="C88" i="6"/>
  <c r="B88" i="6"/>
  <c r="F87" i="6"/>
  <c r="E87" i="6"/>
  <c r="C87" i="6"/>
  <c r="B87" i="6"/>
  <c r="F86" i="6"/>
  <c r="E86" i="6"/>
  <c r="C86" i="6"/>
  <c r="B86" i="6"/>
  <c r="F85" i="6"/>
  <c r="E85" i="6"/>
  <c r="C85" i="6"/>
  <c r="B85" i="6"/>
  <c r="F84" i="6"/>
  <c r="E84" i="6"/>
  <c r="C84" i="6"/>
  <c r="B84" i="6"/>
  <c r="F83" i="6"/>
  <c r="E83" i="6"/>
  <c r="C83" i="6"/>
  <c r="B83" i="6"/>
  <c r="F82" i="6"/>
  <c r="E82" i="6"/>
  <c r="C82" i="6"/>
  <c r="B82" i="6"/>
  <c r="F81" i="6"/>
  <c r="E81" i="6"/>
  <c r="C81" i="6"/>
  <c r="B81" i="6"/>
  <c r="F80" i="6"/>
  <c r="E80" i="6"/>
  <c r="C80" i="6"/>
  <c r="B80" i="6"/>
  <c r="F79" i="6"/>
  <c r="E79" i="6"/>
  <c r="C79" i="6"/>
  <c r="B79" i="6"/>
  <c r="F78" i="6"/>
  <c r="E78" i="6"/>
  <c r="C78" i="6"/>
  <c r="B78" i="6"/>
  <c r="F77" i="6"/>
  <c r="E77" i="6"/>
  <c r="C77" i="6"/>
  <c r="B77" i="6"/>
  <c r="F76" i="6"/>
  <c r="E76" i="6"/>
  <c r="C76" i="6"/>
  <c r="B76" i="6"/>
  <c r="F66" i="6"/>
  <c r="E66" i="6"/>
  <c r="C66" i="6"/>
  <c r="B66" i="6"/>
  <c r="F65" i="6"/>
  <c r="E65" i="6"/>
  <c r="C65" i="6"/>
  <c r="B65" i="6"/>
  <c r="F64" i="6"/>
  <c r="E64" i="6"/>
  <c r="C64" i="6"/>
  <c r="B64" i="6"/>
  <c r="F63" i="6"/>
  <c r="E63" i="6"/>
  <c r="C63" i="6"/>
  <c r="B63" i="6"/>
  <c r="F62" i="6"/>
  <c r="E62" i="6"/>
  <c r="C62" i="6"/>
  <c r="B62" i="6"/>
  <c r="F61" i="6"/>
  <c r="E61" i="6"/>
  <c r="C61" i="6"/>
  <c r="B61" i="6"/>
  <c r="F60" i="6"/>
  <c r="E60" i="6"/>
  <c r="C60" i="6"/>
  <c r="B60" i="6"/>
  <c r="F59" i="6"/>
  <c r="E59" i="6"/>
  <c r="C59" i="6"/>
  <c r="B59" i="6"/>
  <c r="F58" i="6"/>
  <c r="E58" i="6"/>
  <c r="C58" i="6"/>
  <c r="B58" i="6"/>
  <c r="F57" i="6"/>
  <c r="E57" i="6"/>
  <c r="C57" i="6"/>
  <c r="B57" i="6"/>
  <c r="F56" i="6"/>
  <c r="E56" i="6"/>
  <c r="C56" i="6"/>
  <c r="B56" i="6"/>
  <c r="F55" i="6"/>
  <c r="E55" i="6"/>
  <c r="C55" i="6"/>
  <c r="B55" i="6"/>
  <c r="F54" i="6"/>
  <c r="E54" i="6"/>
  <c r="C54" i="6"/>
  <c r="B54" i="6"/>
  <c r="F53" i="6"/>
  <c r="E53" i="6"/>
  <c r="C53" i="6"/>
  <c r="B53" i="6"/>
  <c r="F52" i="6"/>
  <c r="E52" i="6"/>
  <c r="C52" i="6"/>
  <c r="B52" i="6"/>
  <c r="F51" i="6"/>
  <c r="E51" i="6"/>
  <c r="C51" i="6"/>
  <c r="B51" i="6"/>
  <c r="F50" i="6"/>
  <c r="E50" i="6"/>
  <c r="C50" i="6"/>
  <c r="B50" i="6"/>
  <c r="F49" i="6"/>
  <c r="E49" i="6"/>
  <c r="C49" i="6"/>
  <c r="B49" i="6"/>
  <c r="F48" i="6"/>
  <c r="E48" i="6"/>
  <c r="C48" i="6"/>
  <c r="B48" i="6"/>
  <c r="F47" i="6"/>
  <c r="E47" i="6"/>
  <c r="C47" i="6"/>
  <c r="B47" i="6"/>
  <c r="F46" i="6"/>
  <c r="E46" i="6"/>
  <c r="C46" i="6"/>
  <c r="B46" i="6"/>
  <c r="F45" i="6"/>
  <c r="E45" i="6"/>
  <c r="C45" i="6"/>
  <c r="B45" i="6"/>
  <c r="F44" i="6"/>
  <c r="E44" i="6"/>
  <c r="C44" i="6"/>
  <c r="B44" i="6"/>
  <c r="F4" i="6"/>
  <c r="E4" i="6"/>
  <c r="B4" i="6"/>
  <c r="C4" i="6"/>
  <c r="B12" i="8"/>
  <c r="B11" i="8"/>
  <c r="B10" i="8"/>
  <c r="B14" i="8" s="1"/>
  <c r="B9" i="8"/>
  <c r="B8" i="8"/>
  <c r="B7" i="8"/>
  <c r="B6" i="8"/>
  <c r="J100" i="7"/>
  <c r="I100" i="7"/>
  <c r="H100" i="7"/>
  <c r="K100" i="7" s="1"/>
  <c r="G100" i="7"/>
  <c r="F100" i="7"/>
  <c r="E100" i="7"/>
  <c r="D100" i="7"/>
  <c r="G99" i="7"/>
  <c r="F99" i="7"/>
  <c r="E99" i="7"/>
  <c r="D99" i="7"/>
  <c r="J98" i="7"/>
  <c r="I98" i="7"/>
  <c r="H98" i="7"/>
  <c r="K98" i="7" s="1"/>
  <c r="G98" i="7"/>
  <c r="F98" i="7"/>
  <c r="E98" i="7"/>
  <c r="D98" i="7"/>
  <c r="G97" i="7"/>
  <c r="F97" i="7"/>
  <c r="E97" i="7"/>
  <c r="D97" i="7"/>
  <c r="J96" i="7"/>
  <c r="I96" i="7"/>
  <c r="H96" i="7"/>
  <c r="K96" i="7" s="1"/>
  <c r="G96" i="7"/>
  <c r="F96" i="7"/>
  <c r="E96" i="7"/>
  <c r="D96" i="7"/>
  <c r="G95" i="7"/>
  <c r="F95" i="7"/>
  <c r="E95" i="7"/>
  <c r="D95" i="7"/>
  <c r="J94" i="7"/>
  <c r="I94" i="7"/>
  <c r="H94" i="7"/>
  <c r="K94" i="7" s="1"/>
  <c r="G94" i="7"/>
  <c r="F94" i="7"/>
  <c r="E94" i="7"/>
  <c r="D94" i="7"/>
  <c r="G93" i="7"/>
  <c r="F93" i="7"/>
  <c r="E93" i="7"/>
  <c r="D93" i="7"/>
  <c r="J92" i="7"/>
  <c r="I92" i="7"/>
  <c r="H92" i="7"/>
  <c r="K92" i="7" s="1"/>
  <c r="G92" i="7"/>
  <c r="F92" i="7"/>
  <c r="E92" i="7"/>
  <c r="D92" i="7"/>
  <c r="G91" i="7"/>
  <c r="F91" i="7"/>
  <c r="E91" i="7"/>
  <c r="D91" i="7"/>
  <c r="J90" i="7"/>
  <c r="I90" i="7"/>
  <c r="H90" i="7"/>
  <c r="K90" i="7" s="1"/>
  <c r="G90" i="7"/>
  <c r="F90" i="7"/>
  <c r="E90" i="7"/>
  <c r="D90" i="7"/>
  <c r="G89" i="7"/>
  <c r="F89" i="7"/>
  <c r="E89" i="7"/>
  <c r="D89" i="7"/>
  <c r="J88" i="7"/>
  <c r="I88" i="7"/>
  <c r="H88" i="7"/>
  <c r="K88" i="7" s="1"/>
  <c r="G88" i="7"/>
  <c r="F88" i="7"/>
  <c r="E88" i="7"/>
  <c r="D88" i="7"/>
  <c r="G87" i="7"/>
  <c r="F87" i="7"/>
  <c r="E87" i="7"/>
  <c r="D87" i="7"/>
  <c r="J86" i="7"/>
  <c r="I86" i="7"/>
  <c r="H86" i="7"/>
  <c r="K86" i="7" s="1"/>
  <c r="G86" i="7"/>
  <c r="F86" i="7"/>
  <c r="E86" i="7"/>
  <c r="D86" i="7"/>
  <c r="G85" i="7"/>
  <c r="F85" i="7"/>
  <c r="E85" i="7"/>
  <c r="D85" i="7"/>
  <c r="J84" i="7"/>
  <c r="I84" i="7"/>
  <c r="H84" i="7"/>
  <c r="K84" i="7" s="1"/>
  <c r="G84" i="7"/>
  <c r="F84" i="7"/>
  <c r="E84" i="7"/>
  <c r="D84" i="7"/>
  <c r="G83" i="7"/>
  <c r="F83" i="7"/>
  <c r="E83" i="7"/>
  <c r="D83" i="7"/>
  <c r="J82" i="7"/>
  <c r="I82" i="7"/>
  <c r="H82" i="7"/>
  <c r="K82" i="7" s="1"/>
  <c r="G82" i="7"/>
  <c r="F82" i="7"/>
  <c r="E82" i="7"/>
  <c r="D82" i="7"/>
  <c r="G81" i="7"/>
  <c r="F81" i="7"/>
  <c r="E81" i="7"/>
  <c r="D81" i="7"/>
  <c r="J80" i="7"/>
  <c r="I80" i="7"/>
  <c r="H80" i="7"/>
  <c r="K80" i="7" s="1"/>
  <c r="G80" i="7"/>
  <c r="F80" i="7"/>
  <c r="E80" i="7"/>
  <c r="D80" i="7"/>
  <c r="G79" i="7"/>
  <c r="F79" i="7"/>
  <c r="E79" i="7"/>
  <c r="D79" i="7"/>
  <c r="J78" i="7"/>
  <c r="I78" i="7"/>
  <c r="H78" i="7"/>
  <c r="K78" i="7" s="1"/>
  <c r="G78" i="7"/>
  <c r="F78" i="7"/>
  <c r="E78" i="7"/>
  <c r="D78" i="7"/>
  <c r="G77" i="7"/>
  <c r="F77" i="7"/>
  <c r="E77" i="7"/>
  <c r="D77" i="7"/>
  <c r="J76" i="7"/>
  <c r="I76" i="7"/>
  <c r="H76" i="7"/>
  <c r="K76" i="7" s="1"/>
  <c r="G76" i="7"/>
  <c r="F76" i="7"/>
  <c r="E76" i="7"/>
  <c r="D76" i="7"/>
  <c r="G75" i="7"/>
  <c r="F75" i="7"/>
  <c r="E75" i="7"/>
  <c r="D75" i="7"/>
  <c r="J74" i="7"/>
  <c r="I74" i="7"/>
  <c r="H74" i="7"/>
  <c r="K74" i="7" s="1"/>
  <c r="G74" i="7"/>
  <c r="F74" i="7"/>
  <c r="E74" i="7"/>
  <c r="D74" i="7"/>
  <c r="G73" i="7"/>
  <c r="F73" i="7"/>
  <c r="E73" i="7"/>
  <c r="D73" i="7"/>
  <c r="J72" i="7"/>
  <c r="I72" i="7"/>
  <c r="H72" i="7"/>
  <c r="K72" i="7" s="1"/>
  <c r="G72" i="7"/>
  <c r="F72" i="7"/>
  <c r="E72" i="7"/>
  <c r="D72" i="7"/>
  <c r="G71" i="7"/>
  <c r="F71" i="7"/>
  <c r="E71" i="7"/>
  <c r="D71" i="7"/>
  <c r="J70" i="7"/>
  <c r="I70" i="7"/>
  <c r="H70" i="7"/>
  <c r="K70" i="7" s="1"/>
  <c r="G70" i="7"/>
  <c r="F70" i="7"/>
  <c r="E70" i="7"/>
  <c r="D70" i="7"/>
  <c r="G69" i="7"/>
  <c r="F69" i="7"/>
  <c r="E69" i="7"/>
  <c r="D69" i="7"/>
  <c r="J68" i="7"/>
  <c r="I68" i="7"/>
  <c r="H68" i="7"/>
  <c r="K68" i="7" s="1"/>
  <c r="G68" i="7"/>
  <c r="F68" i="7"/>
  <c r="E68" i="7"/>
  <c r="D68" i="7"/>
  <c r="G67" i="7"/>
  <c r="F67" i="7"/>
  <c r="E67" i="7"/>
  <c r="D67" i="7"/>
  <c r="J66" i="7"/>
  <c r="I66" i="7"/>
  <c r="H66" i="7"/>
  <c r="K66" i="7" s="1"/>
  <c r="G66" i="7"/>
  <c r="F66" i="7"/>
  <c r="E66" i="7"/>
  <c r="D66" i="7"/>
  <c r="G65" i="7"/>
  <c r="F65" i="7"/>
  <c r="E65" i="7"/>
  <c r="D65" i="7"/>
  <c r="J64" i="7"/>
  <c r="I64" i="7"/>
  <c r="H64" i="7"/>
  <c r="K64" i="7" s="1"/>
  <c r="G64" i="7"/>
  <c r="F64" i="7"/>
  <c r="E64" i="7"/>
  <c r="D64" i="7"/>
  <c r="G63" i="7"/>
  <c r="F63" i="7"/>
  <c r="E63" i="7"/>
  <c r="D63" i="7"/>
  <c r="J62" i="7"/>
  <c r="I62" i="7"/>
  <c r="H62" i="7"/>
  <c r="K62" i="7" s="1"/>
  <c r="G62" i="7"/>
  <c r="F62" i="7"/>
  <c r="E62" i="7"/>
  <c r="D62" i="7"/>
  <c r="G61" i="7"/>
  <c r="F61" i="7"/>
  <c r="E61" i="7"/>
  <c r="D61" i="7"/>
  <c r="J60" i="7"/>
  <c r="I60" i="7"/>
  <c r="H60" i="7"/>
  <c r="K60" i="7" s="1"/>
  <c r="G60" i="7"/>
  <c r="F60" i="7"/>
  <c r="E60" i="7"/>
  <c r="D60" i="7"/>
  <c r="G59" i="7"/>
  <c r="F59" i="7"/>
  <c r="E59" i="7"/>
  <c r="D59" i="7"/>
  <c r="J58" i="7"/>
  <c r="I58" i="7"/>
  <c r="H58" i="7"/>
  <c r="K58" i="7" s="1"/>
  <c r="G58" i="7"/>
  <c r="F58" i="7"/>
  <c r="E58" i="7"/>
  <c r="D58" i="7"/>
  <c r="G57" i="7"/>
  <c r="F57" i="7"/>
  <c r="E57" i="7"/>
  <c r="D57" i="7"/>
  <c r="J56" i="7"/>
  <c r="I56" i="7"/>
  <c r="H56" i="7"/>
  <c r="K56" i="7" s="1"/>
  <c r="G56" i="7"/>
  <c r="F56" i="7"/>
  <c r="E56" i="7"/>
  <c r="D56" i="7"/>
  <c r="G55" i="7"/>
  <c r="F55" i="7"/>
  <c r="E55" i="7"/>
  <c r="D55" i="7"/>
  <c r="J54" i="7"/>
  <c r="I54" i="7"/>
  <c r="H54" i="7"/>
  <c r="K54" i="7" s="1"/>
  <c r="G54" i="7"/>
  <c r="F54" i="7"/>
  <c r="E54" i="7"/>
  <c r="D54" i="7"/>
  <c r="G53" i="7"/>
  <c r="F53" i="7"/>
  <c r="E53" i="7"/>
  <c r="D53" i="7"/>
  <c r="J52" i="7"/>
  <c r="I52" i="7"/>
  <c r="H52" i="7"/>
  <c r="K52" i="7" s="1"/>
  <c r="G52" i="7"/>
  <c r="F52" i="7"/>
  <c r="E52" i="7"/>
  <c r="D52" i="7"/>
  <c r="G51" i="7"/>
  <c r="F51" i="7"/>
  <c r="E51" i="7"/>
  <c r="D51" i="7"/>
  <c r="J50" i="7"/>
  <c r="I50" i="7"/>
  <c r="H50" i="7"/>
  <c r="K50" i="7" s="1"/>
  <c r="G50" i="7"/>
  <c r="F50" i="7"/>
  <c r="E50" i="7"/>
  <c r="D50" i="7"/>
  <c r="G49" i="7"/>
  <c r="F49" i="7"/>
  <c r="E49" i="7"/>
  <c r="D49" i="7"/>
  <c r="J48" i="7"/>
  <c r="I48" i="7"/>
  <c r="H48" i="7"/>
  <c r="K48" i="7" s="1"/>
  <c r="G48" i="7"/>
  <c r="F48" i="7"/>
  <c r="E48" i="7"/>
  <c r="D48" i="7"/>
  <c r="G47" i="7"/>
  <c r="F47" i="7"/>
  <c r="E47" i="7"/>
  <c r="D47" i="7"/>
  <c r="J46" i="7"/>
  <c r="I46" i="7"/>
  <c r="H46" i="7"/>
  <c r="K46" i="7" s="1"/>
  <c r="G46" i="7"/>
  <c r="F46" i="7"/>
  <c r="E46" i="7"/>
  <c r="D46" i="7"/>
  <c r="G45" i="7"/>
  <c r="F45" i="7"/>
  <c r="E45" i="7"/>
  <c r="D45" i="7"/>
  <c r="J44" i="7"/>
  <c r="I44" i="7"/>
  <c r="H44" i="7"/>
  <c r="K44" i="7" s="1"/>
  <c r="G44" i="7"/>
  <c r="F44" i="7"/>
  <c r="E44" i="7"/>
  <c r="D44" i="7"/>
  <c r="G43" i="7"/>
  <c r="F43" i="7"/>
  <c r="E43" i="7"/>
  <c r="D43" i="7"/>
  <c r="J42" i="7"/>
  <c r="I42" i="7"/>
  <c r="H42" i="7"/>
  <c r="K42" i="7" s="1"/>
  <c r="G42" i="7"/>
  <c r="F42" i="7"/>
  <c r="E42" i="7"/>
  <c r="D42" i="7"/>
  <c r="G41" i="7"/>
  <c r="F41" i="7"/>
  <c r="E41" i="7"/>
  <c r="D41" i="7"/>
  <c r="J40" i="7"/>
  <c r="I40" i="7"/>
  <c r="H40" i="7"/>
  <c r="K40" i="7" s="1"/>
  <c r="G40" i="7"/>
  <c r="F40" i="7"/>
  <c r="E40" i="7"/>
  <c r="D40" i="7"/>
  <c r="G39" i="7"/>
  <c r="F39" i="7"/>
  <c r="E39" i="7"/>
  <c r="D39" i="7"/>
  <c r="J38" i="7"/>
  <c r="I38" i="7"/>
  <c r="H38" i="7"/>
  <c r="K38" i="7" s="1"/>
  <c r="G38" i="7"/>
  <c r="F38" i="7"/>
  <c r="E38" i="7"/>
  <c r="D38" i="7"/>
  <c r="G37" i="7"/>
  <c r="F37" i="7"/>
  <c r="E37" i="7"/>
  <c r="D37" i="7"/>
  <c r="J36" i="7"/>
  <c r="I36" i="7"/>
  <c r="H36" i="7"/>
  <c r="K36" i="7" s="1"/>
  <c r="G36" i="7"/>
  <c r="F36" i="7"/>
  <c r="E36" i="7"/>
  <c r="D36" i="7"/>
  <c r="G35" i="7"/>
  <c r="F35" i="7"/>
  <c r="E35" i="7"/>
  <c r="D35" i="7"/>
  <c r="J34" i="7"/>
  <c r="I34" i="7"/>
  <c r="H34" i="7"/>
  <c r="K34" i="7" s="1"/>
  <c r="G34" i="7"/>
  <c r="F34" i="7"/>
  <c r="E34" i="7"/>
  <c r="D34" i="7"/>
  <c r="G33" i="7"/>
  <c r="F33" i="7"/>
  <c r="E33" i="7"/>
  <c r="D33" i="7"/>
  <c r="J32" i="7"/>
  <c r="I32" i="7"/>
  <c r="H32" i="7"/>
  <c r="K32" i="7" s="1"/>
  <c r="G32" i="7"/>
  <c r="F32" i="7"/>
  <c r="E32" i="7"/>
  <c r="D32" i="7"/>
  <c r="G31" i="7"/>
  <c r="F31" i="7"/>
  <c r="E31" i="7"/>
  <c r="D31" i="7"/>
  <c r="J30" i="7"/>
  <c r="I30" i="7"/>
  <c r="H30" i="7"/>
  <c r="K30" i="7" s="1"/>
  <c r="G30" i="7"/>
  <c r="F30" i="7"/>
  <c r="E30" i="7"/>
  <c r="D30" i="7"/>
  <c r="G29" i="7"/>
  <c r="F29" i="7"/>
  <c r="E29" i="7"/>
  <c r="D29" i="7"/>
  <c r="J28" i="7"/>
  <c r="I28" i="7"/>
  <c r="H28" i="7"/>
  <c r="K28" i="7" s="1"/>
  <c r="G28" i="7"/>
  <c r="F28" i="7"/>
  <c r="E28" i="7"/>
  <c r="D28" i="7"/>
  <c r="G27" i="7"/>
  <c r="F27" i="7"/>
  <c r="E27" i="7"/>
  <c r="D27" i="7"/>
  <c r="J26" i="7"/>
  <c r="I26" i="7"/>
  <c r="H26" i="7"/>
  <c r="K26" i="7" s="1"/>
  <c r="G26" i="7"/>
  <c r="F26" i="7"/>
  <c r="E26" i="7"/>
  <c r="D26" i="7"/>
  <c r="G25" i="7"/>
  <c r="F25" i="7"/>
  <c r="E25" i="7"/>
  <c r="D25" i="7"/>
  <c r="J24" i="7"/>
  <c r="I24" i="7"/>
  <c r="H24" i="7"/>
  <c r="K24" i="7" s="1"/>
  <c r="G24" i="7"/>
  <c r="F24" i="7"/>
  <c r="E24" i="7"/>
  <c r="D24" i="7"/>
  <c r="G23" i="7"/>
  <c r="F23" i="7"/>
  <c r="E23" i="7"/>
  <c r="D23" i="7"/>
  <c r="J22" i="7"/>
  <c r="I22" i="7"/>
  <c r="H22" i="7"/>
  <c r="K22" i="7" s="1"/>
  <c r="G22" i="7"/>
  <c r="F22" i="7"/>
  <c r="E22" i="7"/>
  <c r="D22" i="7"/>
  <c r="G21" i="7"/>
  <c r="F21" i="7"/>
  <c r="E21" i="7"/>
  <c r="D21" i="7"/>
  <c r="J20" i="7"/>
  <c r="I20" i="7"/>
  <c r="H20" i="7"/>
  <c r="K20" i="7" s="1"/>
  <c r="G20" i="7"/>
  <c r="F20" i="7"/>
  <c r="E20" i="7"/>
  <c r="D20" i="7"/>
  <c r="G19" i="7"/>
  <c r="F19" i="7"/>
  <c r="E19" i="7"/>
  <c r="D19" i="7"/>
  <c r="J18" i="7"/>
  <c r="I18" i="7"/>
  <c r="H18" i="7"/>
  <c r="K18" i="7" s="1"/>
  <c r="G18" i="7"/>
  <c r="F18" i="7"/>
  <c r="E18" i="7"/>
  <c r="D18" i="7"/>
  <c r="G17" i="7"/>
  <c r="F17" i="7"/>
  <c r="E17" i="7"/>
  <c r="D17" i="7"/>
  <c r="J16" i="7"/>
  <c r="I16" i="7"/>
  <c r="H16" i="7"/>
  <c r="K16" i="7" s="1"/>
  <c r="G16" i="7"/>
  <c r="F16" i="7"/>
  <c r="E16" i="7"/>
  <c r="D16" i="7"/>
  <c r="G15" i="7"/>
  <c r="F15" i="7"/>
  <c r="E15" i="7"/>
  <c r="D15" i="7"/>
  <c r="J14" i="7"/>
  <c r="I14" i="7"/>
  <c r="H14" i="7"/>
  <c r="K14" i="7" s="1"/>
  <c r="G14" i="7"/>
  <c r="F14" i="7"/>
  <c r="E14" i="7"/>
  <c r="D14" i="7"/>
  <c r="G13" i="7"/>
  <c r="F13" i="7"/>
  <c r="E13" i="7"/>
  <c r="D13" i="7"/>
  <c r="J12" i="7"/>
  <c r="I12" i="7"/>
  <c r="H12" i="7"/>
  <c r="K12" i="7" s="1"/>
  <c r="G12" i="7"/>
  <c r="F12" i="7"/>
  <c r="E12" i="7"/>
  <c r="D12" i="7"/>
  <c r="N11" i="7"/>
  <c r="G11" i="7"/>
  <c r="F11" i="7"/>
  <c r="E11" i="7"/>
  <c r="D11" i="7"/>
  <c r="B11" i="7"/>
  <c r="N10" i="7"/>
  <c r="G10" i="7"/>
  <c r="F10" i="7"/>
  <c r="E10" i="7"/>
  <c r="D10" i="7"/>
  <c r="J10" i="7" s="1"/>
  <c r="B10" i="7"/>
  <c r="N9" i="7"/>
  <c r="I9" i="7"/>
  <c r="H9" i="7"/>
  <c r="K9" i="7" s="1"/>
  <c r="G9" i="7"/>
  <c r="F9" i="7"/>
  <c r="E9" i="7"/>
  <c r="D9" i="7"/>
  <c r="J9" i="7" s="1"/>
  <c r="B9" i="7"/>
  <c r="N8" i="7"/>
  <c r="H8" i="7"/>
  <c r="G8" i="7"/>
  <c r="F8" i="7"/>
  <c r="E8" i="7"/>
  <c r="D8" i="7"/>
  <c r="B8" i="7"/>
  <c r="N7" i="7"/>
  <c r="G7" i="7"/>
  <c r="F7" i="7"/>
  <c r="E7" i="7"/>
  <c r="D7" i="7"/>
  <c r="B7" i="7"/>
  <c r="N6" i="7"/>
  <c r="G6" i="7"/>
  <c r="F6" i="7"/>
  <c r="E6" i="7"/>
  <c r="D6" i="7"/>
  <c r="B6" i="7"/>
  <c r="N5" i="7"/>
  <c r="G5" i="7"/>
  <c r="F5" i="7"/>
  <c r="E5" i="7"/>
  <c r="D5" i="7"/>
  <c r="B5" i="7"/>
  <c r="N4" i="7"/>
  <c r="G4" i="7"/>
  <c r="F4" i="7"/>
  <c r="E4" i="7"/>
  <c r="D4" i="7"/>
  <c r="B4" i="7"/>
  <c r="R1003" i="6"/>
  <c r="Q1003" i="6"/>
  <c r="P1003" i="6"/>
  <c r="F1003" i="6"/>
  <c r="E1003" i="6"/>
  <c r="C1003" i="6"/>
  <c r="B1003" i="6"/>
  <c r="R1002" i="6"/>
  <c r="Q1002" i="6"/>
  <c r="P1002" i="6"/>
  <c r="F1002" i="6"/>
  <c r="E1002" i="6"/>
  <c r="C1002" i="6"/>
  <c r="B1002" i="6"/>
  <c r="R1001" i="6"/>
  <c r="Q1001" i="6"/>
  <c r="P1001" i="6"/>
  <c r="F1001" i="6"/>
  <c r="E1001" i="6"/>
  <c r="C1001" i="6"/>
  <c r="B1001" i="6"/>
  <c r="R1000" i="6"/>
  <c r="Q1000" i="6"/>
  <c r="P1000" i="6"/>
  <c r="F1000" i="6"/>
  <c r="E1000" i="6"/>
  <c r="C1000" i="6"/>
  <c r="B1000" i="6"/>
  <c r="R999" i="6"/>
  <c r="Q999" i="6"/>
  <c r="P999" i="6"/>
  <c r="F999" i="6"/>
  <c r="E999" i="6"/>
  <c r="C999" i="6"/>
  <c r="B999" i="6"/>
  <c r="R998" i="6"/>
  <c r="Q998" i="6"/>
  <c r="P998" i="6"/>
  <c r="F998" i="6"/>
  <c r="E998" i="6"/>
  <c r="C998" i="6"/>
  <c r="B998" i="6"/>
  <c r="R997" i="6"/>
  <c r="Q997" i="6"/>
  <c r="P997" i="6"/>
  <c r="F997" i="6"/>
  <c r="E997" i="6"/>
  <c r="C997" i="6"/>
  <c r="B997" i="6"/>
  <c r="R996" i="6"/>
  <c r="Q996" i="6"/>
  <c r="P996" i="6"/>
  <c r="F996" i="6"/>
  <c r="E996" i="6"/>
  <c r="C996" i="6"/>
  <c r="B996" i="6"/>
  <c r="R995" i="6"/>
  <c r="Q995" i="6"/>
  <c r="P995" i="6"/>
  <c r="F995" i="6"/>
  <c r="E995" i="6"/>
  <c r="C995" i="6"/>
  <c r="B995" i="6"/>
  <c r="R994" i="6"/>
  <c r="Q994" i="6"/>
  <c r="P994" i="6"/>
  <c r="F994" i="6"/>
  <c r="E994" i="6"/>
  <c r="C994" i="6"/>
  <c r="B994" i="6"/>
  <c r="R993" i="6"/>
  <c r="Q993" i="6"/>
  <c r="P993" i="6"/>
  <c r="F993" i="6"/>
  <c r="E993" i="6"/>
  <c r="C993" i="6"/>
  <c r="B993" i="6"/>
  <c r="R992" i="6"/>
  <c r="Q992" i="6"/>
  <c r="P992" i="6"/>
  <c r="F992" i="6"/>
  <c r="E992" i="6"/>
  <c r="C992" i="6"/>
  <c r="B992" i="6"/>
  <c r="R991" i="6"/>
  <c r="Q991" i="6"/>
  <c r="P991" i="6"/>
  <c r="F991" i="6"/>
  <c r="E991" i="6"/>
  <c r="C991" i="6"/>
  <c r="B991" i="6"/>
  <c r="R990" i="6"/>
  <c r="Q990" i="6"/>
  <c r="P990" i="6"/>
  <c r="F990" i="6"/>
  <c r="E990" i="6"/>
  <c r="C990" i="6"/>
  <c r="B990" i="6"/>
  <c r="R989" i="6"/>
  <c r="Q989" i="6"/>
  <c r="P989" i="6"/>
  <c r="F989" i="6"/>
  <c r="E989" i="6"/>
  <c r="C989" i="6"/>
  <c r="B989" i="6"/>
  <c r="R988" i="6"/>
  <c r="Q988" i="6"/>
  <c r="P988" i="6"/>
  <c r="F988" i="6"/>
  <c r="E988" i="6"/>
  <c r="C988" i="6"/>
  <c r="B988" i="6"/>
  <c r="R987" i="6"/>
  <c r="Q987" i="6"/>
  <c r="P987" i="6"/>
  <c r="F987" i="6"/>
  <c r="E987" i="6"/>
  <c r="C987" i="6"/>
  <c r="B987" i="6"/>
  <c r="R986" i="6"/>
  <c r="Q986" i="6"/>
  <c r="P986" i="6"/>
  <c r="F986" i="6"/>
  <c r="E986" i="6"/>
  <c r="C986" i="6"/>
  <c r="B986" i="6"/>
  <c r="R985" i="6"/>
  <c r="Q985" i="6"/>
  <c r="P985" i="6"/>
  <c r="F985" i="6"/>
  <c r="E985" i="6"/>
  <c r="C985" i="6"/>
  <c r="B985" i="6"/>
  <c r="R984" i="6"/>
  <c r="Q984" i="6"/>
  <c r="P984" i="6"/>
  <c r="F984" i="6"/>
  <c r="E984" i="6"/>
  <c r="C984" i="6"/>
  <c r="B984" i="6"/>
  <c r="R983" i="6"/>
  <c r="Q983" i="6"/>
  <c r="P983" i="6"/>
  <c r="F983" i="6"/>
  <c r="E983" i="6"/>
  <c r="C983" i="6"/>
  <c r="B983" i="6"/>
  <c r="R982" i="6"/>
  <c r="Q982" i="6"/>
  <c r="P982" i="6"/>
  <c r="F982" i="6"/>
  <c r="E982" i="6"/>
  <c r="C982" i="6"/>
  <c r="B982" i="6"/>
  <c r="R981" i="6"/>
  <c r="Q981" i="6"/>
  <c r="P981" i="6"/>
  <c r="F981" i="6"/>
  <c r="E981" i="6"/>
  <c r="C981" i="6"/>
  <c r="B981" i="6"/>
  <c r="R980" i="6"/>
  <c r="Q980" i="6"/>
  <c r="P980" i="6"/>
  <c r="F980" i="6"/>
  <c r="E980" i="6"/>
  <c r="C980" i="6"/>
  <c r="B980" i="6"/>
  <c r="R979" i="6"/>
  <c r="Q979" i="6"/>
  <c r="P979" i="6"/>
  <c r="F979" i="6"/>
  <c r="E979" i="6"/>
  <c r="C979" i="6"/>
  <c r="B979" i="6"/>
  <c r="R978" i="6"/>
  <c r="Q978" i="6"/>
  <c r="P978" i="6"/>
  <c r="F978" i="6"/>
  <c r="E978" i="6"/>
  <c r="C978" i="6"/>
  <c r="B978" i="6"/>
  <c r="R977" i="6"/>
  <c r="Q977" i="6"/>
  <c r="P977" i="6"/>
  <c r="F977" i="6"/>
  <c r="E977" i="6"/>
  <c r="C977" i="6"/>
  <c r="B977" i="6"/>
  <c r="R976" i="6"/>
  <c r="Q976" i="6"/>
  <c r="P976" i="6"/>
  <c r="F976" i="6"/>
  <c r="E976" i="6"/>
  <c r="C976" i="6"/>
  <c r="B976" i="6"/>
  <c r="R975" i="6"/>
  <c r="Q975" i="6"/>
  <c r="P975" i="6"/>
  <c r="F975" i="6"/>
  <c r="E975" i="6"/>
  <c r="C975" i="6"/>
  <c r="B975" i="6"/>
  <c r="R974" i="6"/>
  <c r="Q974" i="6"/>
  <c r="P974" i="6"/>
  <c r="F974" i="6"/>
  <c r="E974" i="6"/>
  <c r="C974" i="6"/>
  <c r="B974" i="6"/>
  <c r="R973" i="6"/>
  <c r="Q973" i="6"/>
  <c r="P973" i="6"/>
  <c r="F973" i="6"/>
  <c r="E973" i="6"/>
  <c r="C973" i="6"/>
  <c r="B973" i="6"/>
  <c r="R972" i="6"/>
  <c r="Q972" i="6"/>
  <c r="P972" i="6"/>
  <c r="F972" i="6"/>
  <c r="E972" i="6"/>
  <c r="C972" i="6"/>
  <c r="B972" i="6"/>
  <c r="R971" i="6"/>
  <c r="Q971" i="6"/>
  <c r="P971" i="6"/>
  <c r="F971" i="6"/>
  <c r="E971" i="6"/>
  <c r="C971" i="6"/>
  <c r="B971" i="6"/>
  <c r="R970" i="6"/>
  <c r="Q970" i="6"/>
  <c r="P970" i="6"/>
  <c r="F970" i="6"/>
  <c r="E970" i="6"/>
  <c r="C970" i="6"/>
  <c r="B970" i="6"/>
  <c r="R969" i="6"/>
  <c r="Q969" i="6"/>
  <c r="P969" i="6"/>
  <c r="F969" i="6"/>
  <c r="E969" i="6"/>
  <c r="C969" i="6"/>
  <c r="B969" i="6"/>
  <c r="R968" i="6"/>
  <c r="Q968" i="6"/>
  <c r="P968" i="6"/>
  <c r="F968" i="6"/>
  <c r="E968" i="6"/>
  <c r="C968" i="6"/>
  <c r="B968" i="6"/>
  <c r="R967" i="6"/>
  <c r="Q967" i="6"/>
  <c r="P967" i="6"/>
  <c r="F967" i="6"/>
  <c r="E967" i="6"/>
  <c r="C967" i="6"/>
  <c r="B967" i="6"/>
  <c r="R966" i="6"/>
  <c r="Q966" i="6"/>
  <c r="P966" i="6"/>
  <c r="F966" i="6"/>
  <c r="E966" i="6"/>
  <c r="C966" i="6"/>
  <c r="B966" i="6"/>
  <c r="R965" i="6"/>
  <c r="Q965" i="6"/>
  <c r="P965" i="6"/>
  <c r="F965" i="6"/>
  <c r="E965" i="6"/>
  <c r="C965" i="6"/>
  <c r="B965" i="6"/>
  <c r="R964" i="6"/>
  <c r="Q964" i="6"/>
  <c r="P964" i="6"/>
  <c r="F964" i="6"/>
  <c r="E964" i="6"/>
  <c r="C964" i="6"/>
  <c r="B964" i="6"/>
  <c r="R963" i="6"/>
  <c r="Q963" i="6"/>
  <c r="P963" i="6"/>
  <c r="F963" i="6"/>
  <c r="E963" i="6"/>
  <c r="C963" i="6"/>
  <c r="B963" i="6"/>
  <c r="R962" i="6"/>
  <c r="Q962" i="6"/>
  <c r="P962" i="6"/>
  <c r="F962" i="6"/>
  <c r="E962" i="6"/>
  <c r="C962" i="6"/>
  <c r="B962" i="6"/>
  <c r="R961" i="6"/>
  <c r="Q961" i="6"/>
  <c r="P961" i="6"/>
  <c r="F961" i="6"/>
  <c r="E961" i="6"/>
  <c r="C961" i="6"/>
  <c r="B961" i="6"/>
  <c r="R960" i="6"/>
  <c r="Q960" i="6"/>
  <c r="P960" i="6"/>
  <c r="F960" i="6"/>
  <c r="E960" i="6"/>
  <c r="C960" i="6"/>
  <c r="B960" i="6"/>
  <c r="R959" i="6"/>
  <c r="Q959" i="6"/>
  <c r="P959" i="6"/>
  <c r="F959" i="6"/>
  <c r="E959" i="6"/>
  <c r="C959" i="6"/>
  <c r="B959" i="6"/>
  <c r="R958" i="6"/>
  <c r="Q958" i="6"/>
  <c r="P958" i="6"/>
  <c r="F958" i="6"/>
  <c r="E958" i="6"/>
  <c r="C958" i="6"/>
  <c r="B958" i="6"/>
  <c r="R957" i="6"/>
  <c r="Q957" i="6"/>
  <c r="P957" i="6"/>
  <c r="F957" i="6"/>
  <c r="E957" i="6"/>
  <c r="C957" i="6"/>
  <c r="B957" i="6"/>
  <c r="R956" i="6"/>
  <c r="Q956" i="6"/>
  <c r="P956" i="6"/>
  <c r="F956" i="6"/>
  <c r="E956" i="6"/>
  <c r="C956" i="6"/>
  <c r="B956" i="6"/>
  <c r="R955" i="6"/>
  <c r="Q955" i="6"/>
  <c r="P955" i="6"/>
  <c r="F955" i="6"/>
  <c r="E955" i="6"/>
  <c r="C955" i="6"/>
  <c r="B955" i="6"/>
  <c r="R954" i="6"/>
  <c r="Q954" i="6"/>
  <c r="P954" i="6"/>
  <c r="F954" i="6"/>
  <c r="E954" i="6"/>
  <c r="C954" i="6"/>
  <c r="B954" i="6"/>
  <c r="R953" i="6"/>
  <c r="Q953" i="6"/>
  <c r="P953" i="6"/>
  <c r="F953" i="6"/>
  <c r="E953" i="6"/>
  <c r="C953" i="6"/>
  <c r="B953" i="6"/>
  <c r="R952" i="6"/>
  <c r="Q952" i="6"/>
  <c r="P952" i="6"/>
  <c r="F952" i="6"/>
  <c r="E952" i="6"/>
  <c r="C952" i="6"/>
  <c r="B952" i="6"/>
  <c r="R951" i="6"/>
  <c r="Q951" i="6"/>
  <c r="P951" i="6"/>
  <c r="F951" i="6"/>
  <c r="E951" i="6"/>
  <c r="C951" i="6"/>
  <c r="B951" i="6"/>
  <c r="R950" i="6"/>
  <c r="Q950" i="6"/>
  <c r="P950" i="6"/>
  <c r="F950" i="6"/>
  <c r="E950" i="6"/>
  <c r="C950" i="6"/>
  <c r="B950" i="6"/>
  <c r="R949" i="6"/>
  <c r="Q949" i="6"/>
  <c r="P949" i="6"/>
  <c r="F949" i="6"/>
  <c r="E949" i="6"/>
  <c r="C949" i="6"/>
  <c r="B949" i="6"/>
  <c r="R948" i="6"/>
  <c r="Q948" i="6"/>
  <c r="P948" i="6"/>
  <c r="F948" i="6"/>
  <c r="E948" i="6"/>
  <c r="C948" i="6"/>
  <c r="B948" i="6"/>
  <c r="R947" i="6"/>
  <c r="Q947" i="6"/>
  <c r="P947" i="6"/>
  <c r="F947" i="6"/>
  <c r="E947" i="6"/>
  <c r="C947" i="6"/>
  <c r="B947" i="6"/>
  <c r="R946" i="6"/>
  <c r="Q946" i="6"/>
  <c r="P946" i="6"/>
  <c r="F946" i="6"/>
  <c r="E946" i="6"/>
  <c r="C946" i="6"/>
  <c r="B946" i="6"/>
  <c r="R945" i="6"/>
  <c r="Q945" i="6"/>
  <c r="P945" i="6"/>
  <c r="F945" i="6"/>
  <c r="E945" i="6"/>
  <c r="C945" i="6"/>
  <c r="B945" i="6"/>
  <c r="R944" i="6"/>
  <c r="Q944" i="6"/>
  <c r="P944" i="6"/>
  <c r="F944" i="6"/>
  <c r="E944" i="6"/>
  <c r="C944" i="6"/>
  <c r="B944" i="6"/>
  <c r="R943" i="6"/>
  <c r="Q943" i="6"/>
  <c r="P943" i="6"/>
  <c r="F943" i="6"/>
  <c r="E943" i="6"/>
  <c r="C943" i="6"/>
  <c r="B943" i="6"/>
  <c r="R942" i="6"/>
  <c r="Q942" i="6"/>
  <c r="P942" i="6"/>
  <c r="F942" i="6"/>
  <c r="E942" i="6"/>
  <c r="C942" i="6"/>
  <c r="B942" i="6"/>
  <c r="R941" i="6"/>
  <c r="Q941" i="6"/>
  <c r="P941" i="6"/>
  <c r="F941" i="6"/>
  <c r="E941" i="6"/>
  <c r="C941" i="6"/>
  <c r="B941" i="6"/>
  <c r="R940" i="6"/>
  <c r="Q940" i="6"/>
  <c r="P940" i="6"/>
  <c r="F940" i="6"/>
  <c r="E940" i="6"/>
  <c r="C940" i="6"/>
  <c r="B940" i="6"/>
  <c r="R939" i="6"/>
  <c r="Q939" i="6"/>
  <c r="P939" i="6"/>
  <c r="F939" i="6"/>
  <c r="E939" i="6"/>
  <c r="C939" i="6"/>
  <c r="B939" i="6"/>
  <c r="R938" i="6"/>
  <c r="Q938" i="6"/>
  <c r="P938" i="6"/>
  <c r="F938" i="6"/>
  <c r="E938" i="6"/>
  <c r="C938" i="6"/>
  <c r="B938" i="6"/>
  <c r="R937" i="6"/>
  <c r="Q937" i="6"/>
  <c r="P937" i="6"/>
  <c r="F937" i="6"/>
  <c r="E937" i="6"/>
  <c r="C937" i="6"/>
  <c r="B937" i="6"/>
  <c r="R936" i="6"/>
  <c r="Q936" i="6"/>
  <c r="P936" i="6"/>
  <c r="F936" i="6"/>
  <c r="E936" i="6"/>
  <c r="C936" i="6"/>
  <c r="B936" i="6"/>
  <c r="R935" i="6"/>
  <c r="Q935" i="6"/>
  <c r="P935" i="6"/>
  <c r="F935" i="6"/>
  <c r="E935" i="6"/>
  <c r="C935" i="6"/>
  <c r="B935" i="6"/>
  <c r="R934" i="6"/>
  <c r="Q934" i="6"/>
  <c r="P934" i="6"/>
  <c r="F934" i="6"/>
  <c r="E934" i="6"/>
  <c r="C934" i="6"/>
  <c r="B934" i="6"/>
  <c r="R933" i="6"/>
  <c r="Q933" i="6"/>
  <c r="P933" i="6"/>
  <c r="F933" i="6"/>
  <c r="E933" i="6"/>
  <c r="C933" i="6"/>
  <c r="B933" i="6"/>
  <c r="R932" i="6"/>
  <c r="Q932" i="6"/>
  <c r="P932" i="6"/>
  <c r="F932" i="6"/>
  <c r="E932" i="6"/>
  <c r="C932" i="6"/>
  <c r="B932" i="6"/>
  <c r="R931" i="6"/>
  <c r="Q931" i="6"/>
  <c r="P931" i="6"/>
  <c r="F931" i="6"/>
  <c r="E931" i="6"/>
  <c r="C931" i="6"/>
  <c r="B931" i="6"/>
  <c r="R930" i="6"/>
  <c r="Q930" i="6"/>
  <c r="P930" i="6"/>
  <c r="F930" i="6"/>
  <c r="E930" i="6"/>
  <c r="C930" i="6"/>
  <c r="B930" i="6"/>
  <c r="R929" i="6"/>
  <c r="Q929" i="6"/>
  <c r="P929" i="6"/>
  <c r="F929" i="6"/>
  <c r="E929" i="6"/>
  <c r="C929" i="6"/>
  <c r="B929" i="6"/>
  <c r="R928" i="6"/>
  <c r="Q928" i="6"/>
  <c r="P928" i="6"/>
  <c r="F928" i="6"/>
  <c r="E928" i="6"/>
  <c r="C928" i="6"/>
  <c r="B928" i="6"/>
  <c r="R927" i="6"/>
  <c r="Q927" i="6"/>
  <c r="P927" i="6"/>
  <c r="F927" i="6"/>
  <c r="E927" i="6"/>
  <c r="C927" i="6"/>
  <c r="B927" i="6"/>
  <c r="R926" i="6"/>
  <c r="Q926" i="6"/>
  <c r="P926" i="6"/>
  <c r="F926" i="6"/>
  <c r="E926" i="6"/>
  <c r="C926" i="6"/>
  <c r="B926" i="6"/>
  <c r="R925" i="6"/>
  <c r="Q925" i="6"/>
  <c r="P925" i="6"/>
  <c r="F925" i="6"/>
  <c r="E925" i="6"/>
  <c r="C925" i="6"/>
  <c r="B925" i="6"/>
  <c r="R924" i="6"/>
  <c r="Q924" i="6"/>
  <c r="P924" i="6"/>
  <c r="F924" i="6"/>
  <c r="E924" i="6"/>
  <c r="C924" i="6"/>
  <c r="B924" i="6"/>
  <c r="R923" i="6"/>
  <c r="Q923" i="6"/>
  <c r="P923" i="6"/>
  <c r="F923" i="6"/>
  <c r="E923" i="6"/>
  <c r="C923" i="6"/>
  <c r="B923" i="6"/>
  <c r="R922" i="6"/>
  <c r="Q922" i="6"/>
  <c r="P922" i="6"/>
  <c r="F922" i="6"/>
  <c r="E922" i="6"/>
  <c r="C922" i="6"/>
  <c r="B922" i="6"/>
  <c r="R921" i="6"/>
  <c r="Q921" i="6"/>
  <c r="P921" i="6"/>
  <c r="F921" i="6"/>
  <c r="E921" i="6"/>
  <c r="C921" i="6"/>
  <c r="B921" i="6"/>
  <c r="R920" i="6"/>
  <c r="Q920" i="6"/>
  <c r="P920" i="6"/>
  <c r="F920" i="6"/>
  <c r="E920" i="6"/>
  <c r="C920" i="6"/>
  <c r="B920" i="6"/>
  <c r="R919" i="6"/>
  <c r="Q919" i="6"/>
  <c r="P919" i="6"/>
  <c r="F919" i="6"/>
  <c r="E919" i="6"/>
  <c r="C919" i="6"/>
  <c r="B919" i="6"/>
  <c r="R918" i="6"/>
  <c r="Q918" i="6"/>
  <c r="P918" i="6"/>
  <c r="F918" i="6"/>
  <c r="E918" i="6"/>
  <c r="C918" i="6"/>
  <c r="B918" i="6"/>
  <c r="R917" i="6"/>
  <c r="Q917" i="6"/>
  <c r="P917" i="6"/>
  <c r="F917" i="6"/>
  <c r="E917" i="6"/>
  <c r="C917" i="6"/>
  <c r="B917" i="6"/>
  <c r="R916" i="6"/>
  <c r="Q916" i="6"/>
  <c r="P916" i="6"/>
  <c r="F916" i="6"/>
  <c r="E916" i="6"/>
  <c r="C916" i="6"/>
  <c r="B916" i="6"/>
  <c r="R915" i="6"/>
  <c r="Q915" i="6"/>
  <c r="P915" i="6"/>
  <c r="F915" i="6"/>
  <c r="E915" i="6"/>
  <c r="C915" i="6"/>
  <c r="B915" i="6"/>
  <c r="R914" i="6"/>
  <c r="Q914" i="6"/>
  <c r="P914" i="6"/>
  <c r="F914" i="6"/>
  <c r="E914" i="6"/>
  <c r="C914" i="6"/>
  <c r="B914" i="6"/>
  <c r="R913" i="6"/>
  <c r="Q913" i="6"/>
  <c r="P913" i="6"/>
  <c r="F913" i="6"/>
  <c r="E913" i="6"/>
  <c r="C913" i="6"/>
  <c r="B913" i="6"/>
  <c r="R912" i="6"/>
  <c r="Q912" i="6"/>
  <c r="P912" i="6"/>
  <c r="F912" i="6"/>
  <c r="E912" i="6"/>
  <c r="C912" i="6"/>
  <c r="B912" i="6"/>
  <c r="R911" i="6"/>
  <c r="Q911" i="6"/>
  <c r="P911" i="6"/>
  <c r="F911" i="6"/>
  <c r="E911" i="6"/>
  <c r="C911" i="6"/>
  <c r="B911" i="6"/>
  <c r="R910" i="6"/>
  <c r="Q910" i="6"/>
  <c r="P910" i="6"/>
  <c r="F910" i="6"/>
  <c r="E910" i="6"/>
  <c r="C910" i="6"/>
  <c r="B910" i="6"/>
  <c r="R909" i="6"/>
  <c r="Q909" i="6"/>
  <c r="P909" i="6"/>
  <c r="F909" i="6"/>
  <c r="E909" i="6"/>
  <c r="C909" i="6"/>
  <c r="B909" i="6"/>
  <c r="R908" i="6"/>
  <c r="Q908" i="6"/>
  <c r="P908" i="6"/>
  <c r="F908" i="6"/>
  <c r="E908" i="6"/>
  <c r="C908" i="6"/>
  <c r="B908" i="6"/>
  <c r="R907" i="6"/>
  <c r="Q907" i="6"/>
  <c r="P907" i="6"/>
  <c r="F907" i="6"/>
  <c r="E907" i="6"/>
  <c r="C907" i="6"/>
  <c r="B907" i="6"/>
  <c r="R906" i="6"/>
  <c r="Q906" i="6"/>
  <c r="P906" i="6"/>
  <c r="F906" i="6"/>
  <c r="E906" i="6"/>
  <c r="C906" i="6"/>
  <c r="B906" i="6"/>
  <c r="R905" i="6"/>
  <c r="Q905" i="6"/>
  <c r="P905" i="6"/>
  <c r="F905" i="6"/>
  <c r="E905" i="6"/>
  <c r="C905" i="6"/>
  <c r="B905" i="6"/>
  <c r="R904" i="6"/>
  <c r="Q904" i="6"/>
  <c r="P904" i="6"/>
  <c r="F904" i="6"/>
  <c r="E904" i="6"/>
  <c r="C904" i="6"/>
  <c r="B904" i="6"/>
  <c r="R903" i="6"/>
  <c r="Q903" i="6"/>
  <c r="P903" i="6"/>
  <c r="F903" i="6"/>
  <c r="E903" i="6"/>
  <c r="C903" i="6"/>
  <c r="B903" i="6"/>
  <c r="R902" i="6"/>
  <c r="Q902" i="6"/>
  <c r="P902" i="6"/>
  <c r="F902" i="6"/>
  <c r="E902" i="6"/>
  <c r="C902" i="6"/>
  <c r="B902" i="6"/>
  <c r="R901" i="6"/>
  <c r="Q901" i="6"/>
  <c r="P901" i="6"/>
  <c r="F901" i="6"/>
  <c r="E901" i="6"/>
  <c r="C901" i="6"/>
  <c r="B901" i="6"/>
  <c r="R900" i="6"/>
  <c r="Q900" i="6"/>
  <c r="P900" i="6"/>
  <c r="F900" i="6"/>
  <c r="E900" i="6"/>
  <c r="C900" i="6"/>
  <c r="B900" i="6"/>
  <c r="R899" i="6"/>
  <c r="Q899" i="6"/>
  <c r="P899" i="6"/>
  <c r="F899" i="6"/>
  <c r="E899" i="6"/>
  <c r="C899" i="6"/>
  <c r="B899" i="6"/>
  <c r="R898" i="6"/>
  <c r="Q898" i="6"/>
  <c r="P898" i="6"/>
  <c r="F898" i="6"/>
  <c r="E898" i="6"/>
  <c r="C898" i="6"/>
  <c r="B898" i="6"/>
  <c r="R897" i="6"/>
  <c r="Q897" i="6"/>
  <c r="P897" i="6"/>
  <c r="F897" i="6"/>
  <c r="E897" i="6"/>
  <c r="C897" i="6"/>
  <c r="B897" i="6"/>
  <c r="R896" i="6"/>
  <c r="Q896" i="6"/>
  <c r="P896" i="6"/>
  <c r="F896" i="6"/>
  <c r="E896" i="6"/>
  <c r="C896" i="6"/>
  <c r="B896" i="6"/>
  <c r="R895" i="6"/>
  <c r="Q895" i="6"/>
  <c r="P895" i="6"/>
  <c r="F895" i="6"/>
  <c r="E895" i="6"/>
  <c r="C895" i="6"/>
  <c r="B895" i="6"/>
  <c r="R894" i="6"/>
  <c r="Q894" i="6"/>
  <c r="P894" i="6"/>
  <c r="F894" i="6"/>
  <c r="E894" i="6"/>
  <c r="C894" i="6"/>
  <c r="B894" i="6"/>
  <c r="R893" i="6"/>
  <c r="Q893" i="6"/>
  <c r="P893" i="6"/>
  <c r="F893" i="6"/>
  <c r="E893" i="6"/>
  <c r="C893" i="6"/>
  <c r="B893" i="6"/>
  <c r="R892" i="6"/>
  <c r="Q892" i="6"/>
  <c r="P892" i="6"/>
  <c r="F892" i="6"/>
  <c r="E892" i="6"/>
  <c r="C892" i="6"/>
  <c r="B892" i="6"/>
  <c r="R891" i="6"/>
  <c r="Q891" i="6"/>
  <c r="P891" i="6"/>
  <c r="F891" i="6"/>
  <c r="E891" i="6"/>
  <c r="C891" i="6"/>
  <c r="B891" i="6"/>
  <c r="R890" i="6"/>
  <c r="Q890" i="6"/>
  <c r="P890" i="6"/>
  <c r="F890" i="6"/>
  <c r="E890" i="6"/>
  <c r="C890" i="6"/>
  <c r="B890" i="6"/>
  <c r="R889" i="6"/>
  <c r="Q889" i="6"/>
  <c r="P889" i="6"/>
  <c r="F889" i="6"/>
  <c r="E889" i="6"/>
  <c r="C889" i="6"/>
  <c r="B889" i="6"/>
  <c r="R888" i="6"/>
  <c r="Q888" i="6"/>
  <c r="P888" i="6"/>
  <c r="F888" i="6"/>
  <c r="E888" i="6"/>
  <c r="C888" i="6"/>
  <c r="B888" i="6"/>
  <c r="R887" i="6"/>
  <c r="Q887" i="6"/>
  <c r="P887" i="6"/>
  <c r="F887" i="6"/>
  <c r="E887" i="6"/>
  <c r="C887" i="6"/>
  <c r="B887" i="6"/>
  <c r="R886" i="6"/>
  <c r="Q886" i="6"/>
  <c r="P886" i="6"/>
  <c r="F886" i="6"/>
  <c r="E886" i="6"/>
  <c r="C886" i="6"/>
  <c r="B886" i="6"/>
  <c r="R885" i="6"/>
  <c r="Q885" i="6"/>
  <c r="P885" i="6"/>
  <c r="F885" i="6"/>
  <c r="E885" i="6"/>
  <c r="C885" i="6"/>
  <c r="B885" i="6"/>
  <c r="R884" i="6"/>
  <c r="Q884" i="6"/>
  <c r="P884" i="6"/>
  <c r="F884" i="6"/>
  <c r="E884" i="6"/>
  <c r="C884" i="6"/>
  <c r="B884" i="6"/>
  <c r="R883" i="6"/>
  <c r="Q883" i="6"/>
  <c r="P883" i="6"/>
  <c r="F883" i="6"/>
  <c r="E883" i="6"/>
  <c r="C883" i="6"/>
  <c r="B883" i="6"/>
  <c r="R882" i="6"/>
  <c r="Q882" i="6"/>
  <c r="P882" i="6"/>
  <c r="F882" i="6"/>
  <c r="E882" i="6"/>
  <c r="C882" i="6"/>
  <c r="B882" i="6"/>
  <c r="R881" i="6"/>
  <c r="Q881" i="6"/>
  <c r="P881" i="6"/>
  <c r="F881" i="6"/>
  <c r="E881" i="6"/>
  <c r="C881" i="6"/>
  <c r="B881" i="6"/>
  <c r="R880" i="6"/>
  <c r="Q880" i="6"/>
  <c r="P880" i="6"/>
  <c r="F880" i="6"/>
  <c r="E880" i="6"/>
  <c r="C880" i="6"/>
  <c r="B880" i="6"/>
  <c r="R879" i="6"/>
  <c r="Q879" i="6"/>
  <c r="P879" i="6"/>
  <c r="F879" i="6"/>
  <c r="E879" i="6"/>
  <c r="C879" i="6"/>
  <c r="B879" i="6"/>
  <c r="R878" i="6"/>
  <c r="Q878" i="6"/>
  <c r="P878" i="6"/>
  <c r="F878" i="6"/>
  <c r="E878" i="6"/>
  <c r="C878" i="6"/>
  <c r="B878" i="6"/>
  <c r="R877" i="6"/>
  <c r="Q877" i="6"/>
  <c r="P877" i="6"/>
  <c r="F877" i="6"/>
  <c r="E877" i="6"/>
  <c r="C877" i="6"/>
  <c r="B877" i="6"/>
  <c r="R876" i="6"/>
  <c r="Q876" i="6"/>
  <c r="P876" i="6"/>
  <c r="F876" i="6"/>
  <c r="E876" i="6"/>
  <c r="C876" i="6"/>
  <c r="B876" i="6"/>
  <c r="R875" i="6"/>
  <c r="Q875" i="6"/>
  <c r="P875" i="6"/>
  <c r="F875" i="6"/>
  <c r="E875" i="6"/>
  <c r="C875" i="6"/>
  <c r="B875" i="6"/>
  <c r="R874" i="6"/>
  <c r="Q874" i="6"/>
  <c r="P874" i="6"/>
  <c r="F874" i="6"/>
  <c r="E874" i="6"/>
  <c r="C874" i="6"/>
  <c r="B874" i="6"/>
  <c r="R873" i="6"/>
  <c r="Q873" i="6"/>
  <c r="P873" i="6"/>
  <c r="F873" i="6"/>
  <c r="E873" i="6"/>
  <c r="C873" i="6"/>
  <c r="B873" i="6"/>
  <c r="R872" i="6"/>
  <c r="Q872" i="6"/>
  <c r="P872" i="6"/>
  <c r="F872" i="6"/>
  <c r="E872" i="6"/>
  <c r="C872" i="6"/>
  <c r="B872" i="6"/>
  <c r="R871" i="6"/>
  <c r="Q871" i="6"/>
  <c r="P871" i="6"/>
  <c r="F871" i="6"/>
  <c r="E871" i="6"/>
  <c r="C871" i="6"/>
  <c r="B871" i="6"/>
  <c r="R870" i="6"/>
  <c r="Q870" i="6"/>
  <c r="P870" i="6"/>
  <c r="F870" i="6"/>
  <c r="E870" i="6"/>
  <c r="C870" i="6"/>
  <c r="B870" i="6"/>
  <c r="R869" i="6"/>
  <c r="Q869" i="6"/>
  <c r="P869" i="6"/>
  <c r="F869" i="6"/>
  <c r="E869" i="6"/>
  <c r="C869" i="6"/>
  <c r="B869" i="6"/>
  <c r="R868" i="6"/>
  <c r="Q868" i="6"/>
  <c r="P868" i="6"/>
  <c r="F868" i="6"/>
  <c r="E868" i="6"/>
  <c r="C868" i="6"/>
  <c r="B868" i="6"/>
  <c r="R867" i="6"/>
  <c r="Q867" i="6"/>
  <c r="P867" i="6"/>
  <c r="F867" i="6"/>
  <c r="E867" i="6"/>
  <c r="C867" i="6"/>
  <c r="B867" i="6"/>
  <c r="R866" i="6"/>
  <c r="Q866" i="6"/>
  <c r="P866" i="6"/>
  <c r="F866" i="6"/>
  <c r="E866" i="6"/>
  <c r="C866" i="6"/>
  <c r="B866" i="6"/>
  <c r="R865" i="6"/>
  <c r="Q865" i="6"/>
  <c r="P865" i="6"/>
  <c r="F865" i="6"/>
  <c r="E865" i="6"/>
  <c r="C865" i="6"/>
  <c r="B865" i="6"/>
  <c r="R864" i="6"/>
  <c r="Q864" i="6"/>
  <c r="P864" i="6"/>
  <c r="F864" i="6"/>
  <c r="E864" i="6"/>
  <c r="C864" i="6"/>
  <c r="B864" i="6"/>
  <c r="R863" i="6"/>
  <c r="Q863" i="6"/>
  <c r="P863" i="6"/>
  <c r="F863" i="6"/>
  <c r="E863" i="6"/>
  <c r="C863" i="6"/>
  <c r="B863" i="6"/>
  <c r="R862" i="6"/>
  <c r="Q862" i="6"/>
  <c r="P862" i="6"/>
  <c r="F862" i="6"/>
  <c r="E862" i="6"/>
  <c r="C862" i="6"/>
  <c r="B862" i="6"/>
  <c r="R861" i="6"/>
  <c r="Q861" i="6"/>
  <c r="P861" i="6"/>
  <c r="F861" i="6"/>
  <c r="E861" i="6"/>
  <c r="C861" i="6"/>
  <c r="B861" i="6"/>
  <c r="R860" i="6"/>
  <c r="Q860" i="6"/>
  <c r="P860" i="6"/>
  <c r="F860" i="6"/>
  <c r="E860" i="6"/>
  <c r="C860" i="6"/>
  <c r="B860" i="6"/>
  <c r="R859" i="6"/>
  <c r="Q859" i="6"/>
  <c r="P859" i="6"/>
  <c r="F859" i="6"/>
  <c r="E859" i="6"/>
  <c r="C859" i="6"/>
  <c r="B859" i="6"/>
  <c r="R858" i="6"/>
  <c r="Q858" i="6"/>
  <c r="P858" i="6"/>
  <c r="F858" i="6"/>
  <c r="E858" i="6"/>
  <c r="C858" i="6"/>
  <c r="B858" i="6"/>
  <c r="R857" i="6"/>
  <c r="Q857" i="6"/>
  <c r="P857" i="6"/>
  <c r="F857" i="6"/>
  <c r="E857" i="6"/>
  <c r="C857" i="6"/>
  <c r="B857" i="6"/>
  <c r="R856" i="6"/>
  <c r="Q856" i="6"/>
  <c r="P856" i="6"/>
  <c r="F856" i="6"/>
  <c r="E856" i="6"/>
  <c r="C856" i="6"/>
  <c r="B856" i="6"/>
  <c r="R855" i="6"/>
  <c r="Q855" i="6"/>
  <c r="P855" i="6"/>
  <c r="F855" i="6"/>
  <c r="E855" i="6"/>
  <c r="C855" i="6"/>
  <c r="B855" i="6"/>
  <c r="R854" i="6"/>
  <c r="Q854" i="6"/>
  <c r="P854" i="6"/>
  <c r="F854" i="6"/>
  <c r="E854" i="6"/>
  <c r="C854" i="6"/>
  <c r="B854" i="6"/>
  <c r="R853" i="6"/>
  <c r="Q853" i="6"/>
  <c r="P853" i="6"/>
  <c r="F853" i="6"/>
  <c r="E853" i="6"/>
  <c r="C853" i="6"/>
  <c r="B853" i="6"/>
  <c r="R852" i="6"/>
  <c r="Q852" i="6"/>
  <c r="P852" i="6"/>
  <c r="F852" i="6"/>
  <c r="E852" i="6"/>
  <c r="C852" i="6"/>
  <c r="B852" i="6"/>
  <c r="R851" i="6"/>
  <c r="Q851" i="6"/>
  <c r="P851" i="6"/>
  <c r="F851" i="6"/>
  <c r="E851" i="6"/>
  <c r="C851" i="6"/>
  <c r="B851" i="6"/>
  <c r="R850" i="6"/>
  <c r="Q850" i="6"/>
  <c r="P850" i="6"/>
  <c r="F850" i="6"/>
  <c r="E850" i="6"/>
  <c r="C850" i="6"/>
  <c r="B850" i="6"/>
  <c r="R849" i="6"/>
  <c r="Q849" i="6"/>
  <c r="P849" i="6"/>
  <c r="F849" i="6"/>
  <c r="E849" i="6"/>
  <c r="C849" i="6"/>
  <c r="B849" i="6"/>
  <c r="R848" i="6"/>
  <c r="Q848" i="6"/>
  <c r="P848" i="6"/>
  <c r="F848" i="6"/>
  <c r="E848" i="6"/>
  <c r="C848" i="6"/>
  <c r="B848" i="6"/>
  <c r="R847" i="6"/>
  <c r="Q847" i="6"/>
  <c r="P847" i="6"/>
  <c r="F847" i="6"/>
  <c r="E847" i="6"/>
  <c r="C847" i="6"/>
  <c r="B847" i="6"/>
  <c r="R846" i="6"/>
  <c r="Q846" i="6"/>
  <c r="P846" i="6"/>
  <c r="F846" i="6"/>
  <c r="E846" i="6"/>
  <c r="C846" i="6"/>
  <c r="B846" i="6"/>
  <c r="R845" i="6"/>
  <c r="Q845" i="6"/>
  <c r="P845" i="6"/>
  <c r="F845" i="6"/>
  <c r="E845" i="6"/>
  <c r="C845" i="6"/>
  <c r="B845" i="6"/>
  <c r="R844" i="6"/>
  <c r="Q844" i="6"/>
  <c r="P844" i="6"/>
  <c r="F844" i="6"/>
  <c r="E844" i="6"/>
  <c r="C844" i="6"/>
  <c r="B844" i="6"/>
  <c r="R843" i="6"/>
  <c r="Q843" i="6"/>
  <c r="P843" i="6"/>
  <c r="F843" i="6"/>
  <c r="E843" i="6"/>
  <c r="C843" i="6"/>
  <c r="B843" i="6"/>
  <c r="R842" i="6"/>
  <c r="Q842" i="6"/>
  <c r="P842" i="6"/>
  <c r="F842" i="6"/>
  <c r="E842" i="6"/>
  <c r="C842" i="6"/>
  <c r="B842" i="6"/>
  <c r="R841" i="6"/>
  <c r="Q841" i="6"/>
  <c r="P841" i="6"/>
  <c r="F841" i="6"/>
  <c r="E841" i="6"/>
  <c r="C841" i="6"/>
  <c r="B841" i="6"/>
  <c r="R840" i="6"/>
  <c r="Q840" i="6"/>
  <c r="P840" i="6"/>
  <c r="F840" i="6"/>
  <c r="E840" i="6"/>
  <c r="C840" i="6"/>
  <c r="B840" i="6"/>
  <c r="R839" i="6"/>
  <c r="Q839" i="6"/>
  <c r="P839" i="6"/>
  <c r="F839" i="6"/>
  <c r="E839" i="6"/>
  <c r="C839" i="6"/>
  <c r="B839" i="6"/>
  <c r="R838" i="6"/>
  <c r="Q838" i="6"/>
  <c r="P838" i="6"/>
  <c r="F838" i="6"/>
  <c r="E838" i="6"/>
  <c r="C838" i="6"/>
  <c r="B838" i="6"/>
  <c r="R837" i="6"/>
  <c r="Q837" i="6"/>
  <c r="P837" i="6"/>
  <c r="F837" i="6"/>
  <c r="E837" i="6"/>
  <c r="C837" i="6"/>
  <c r="B837" i="6"/>
  <c r="R836" i="6"/>
  <c r="Q836" i="6"/>
  <c r="P836" i="6"/>
  <c r="F836" i="6"/>
  <c r="E836" i="6"/>
  <c r="C836" i="6"/>
  <c r="B836" i="6"/>
  <c r="R835" i="6"/>
  <c r="Q835" i="6"/>
  <c r="P835" i="6"/>
  <c r="F835" i="6"/>
  <c r="E835" i="6"/>
  <c r="C835" i="6"/>
  <c r="B835" i="6"/>
  <c r="R834" i="6"/>
  <c r="Q834" i="6"/>
  <c r="P834" i="6"/>
  <c r="F834" i="6"/>
  <c r="E834" i="6"/>
  <c r="C834" i="6"/>
  <c r="B834" i="6"/>
  <c r="R833" i="6"/>
  <c r="Q833" i="6"/>
  <c r="P833" i="6"/>
  <c r="F833" i="6"/>
  <c r="E833" i="6"/>
  <c r="C833" i="6"/>
  <c r="B833" i="6"/>
  <c r="R832" i="6"/>
  <c r="Q832" i="6"/>
  <c r="P832" i="6"/>
  <c r="F832" i="6"/>
  <c r="E832" i="6"/>
  <c r="C832" i="6"/>
  <c r="B832" i="6"/>
  <c r="R831" i="6"/>
  <c r="Q831" i="6"/>
  <c r="P831" i="6"/>
  <c r="F831" i="6"/>
  <c r="E831" i="6"/>
  <c r="C831" i="6"/>
  <c r="B831" i="6"/>
  <c r="R830" i="6"/>
  <c r="Q830" i="6"/>
  <c r="P830" i="6"/>
  <c r="F830" i="6"/>
  <c r="E830" i="6"/>
  <c r="C830" i="6"/>
  <c r="B830" i="6"/>
  <c r="R829" i="6"/>
  <c r="Q829" i="6"/>
  <c r="P829" i="6"/>
  <c r="F829" i="6"/>
  <c r="E829" i="6"/>
  <c r="C829" i="6"/>
  <c r="B829" i="6"/>
  <c r="R828" i="6"/>
  <c r="Q828" i="6"/>
  <c r="P828" i="6"/>
  <c r="F828" i="6"/>
  <c r="E828" i="6"/>
  <c r="C828" i="6"/>
  <c r="B828" i="6"/>
  <c r="R827" i="6"/>
  <c r="Q827" i="6"/>
  <c r="P827" i="6"/>
  <c r="F827" i="6"/>
  <c r="E827" i="6"/>
  <c r="C827" i="6"/>
  <c r="B827" i="6"/>
  <c r="R826" i="6"/>
  <c r="Q826" i="6"/>
  <c r="P826" i="6"/>
  <c r="F826" i="6"/>
  <c r="E826" i="6"/>
  <c r="C826" i="6"/>
  <c r="B826" i="6"/>
  <c r="R825" i="6"/>
  <c r="Q825" i="6"/>
  <c r="P825" i="6"/>
  <c r="F825" i="6"/>
  <c r="E825" i="6"/>
  <c r="C825" i="6"/>
  <c r="B825" i="6"/>
  <c r="R824" i="6"/>
  <c r="Q824" i="6"/>
  <c r="P824" i="6"/>
  <c r="F824" i="6"/>
  <c r="E824" i="6"/>
  <c r="C824" i="6"/>
  <c r="B824" i="6"/>
  <c r="R823" i="6"/>
  <c r="Q823" i="6"/>
  <c r="P823" i="6"/>
  <c r="F823" i="6"/>
  <c r="E823" i="6"/>
  <c r="C823" i="6"/>
  <c r="B823" i="6"/>
  <c r="R822" i="6"/>
  <c r="Q822" i="6"/>
  <c r="P822" i="6"/>
  <c r="F822" i="6"/>
  <c r="E822" i="6"/>
  <c r="C822" i="6"/>
  <c r="B822" i="6"/>
  <c r="R821" i="6"/>
  <c r="Q821" i="6"/>
  <c r="P821" i="6"/>
  <c r="F821" i="6"/>
  <c r="E821" i="6"/>
  <c r="C821" i="6"/>
  <c r="B821" i="6"/>
  <c r="R820" i="6"/>
  <c r="Q820" i="6"/>
  <c r="P820" i="6"/>
  <c r="F820" i="6"/>
  <c r="E820" i="6"/>
  <c r="C820" i="6"/>
  <c r="B820" i="6"/>
  <c r="R819" i="6"/>
  <c r="Q819" i="6"/>
  <c r="P819" i="6"/>
  <c r="F819" i="6"/>
  <c r="E819" i="6"/>
  <c r="C819" i="6"/>
  <c r="B819" i="6"/>
  <c r="R818" i="6"/>
  <c r="Q818" i="6"/>
  <c r="P818" i="6"/>
  <c r="F818" i="6"/>
  <c r="E818" i="6"/>
  <c r="C818" i="6"/>
  <c r="B818" i="6"/>
  <c r="R817" i="6"/>
  <c r="Q817" i="6"/>
  <c r="P817" i="6"/>
  <c r="F817" i="6"/>
  <c r="E817" i="6"/>
  <c r="C817" i="6"/>
  <c r="B817" i="6"/>
  <c r="R816" i="6"/>
  <c r="Q816" i="6"/>
  <c r="P816" i="6"/>
  <c r="F816" i="6"/>
  <c r="E816" i="6"/>
  <c r="C816" i="6"/>
  <c r="B816" i="6"/>
  <c r="R815" i="6"/>
  <c r="Q815" i="6"/>
  <c r="P815" i="6"/>
  <c r="F815" i="6"/>
  <c r="E815" i="6"/>
  <c r="C815" i="6"/>
  <c r="B815" i="6"/>
  <c r="R814" i="6"/>
  <c r="Q814" i="6"/>
  <c r="P814" i="6"/>
  <c r="F814" i="6"/>
  <c r="E814" i="6"/>
  <c r="C814" i="6"/>
  <c r="B814" i="6"/>
  <c r="R813" i="6"/>
  <c r="Q813" i="6"/>
  <c r="P813" i="6"/>
  <c r="F813" i="6"/>
  <c r="E813" i="6"/>
  <c r="C813" i="6"/>
  <c r="B813" i="6"/>
  <c r="R812" i="6"/>
  <c r="Q812" i="6"/>
  <c r="P812" i="6"/>
  <c r="F812" i="6"/>
  <c r="E812" i="6"/>
  <c r="C812" i="6"/>
  <c r="B812" i="6"/>
  <c r="R811" i="6"/>
  <c r="Q811" i="6"/>
  <c r="P811" i="6"/>
  <c r="F811" i="6"/>
  <c r="E811" i="6"/>
  <c r="C811" i="6"/>
  <c r="B811" i="6"/>
  <c r="R810" i="6"/>
  <c r="Q810" i="6"/>
  <c r="P810" i="6"/>
  <c r="F810" i="6"/>
  <c r="E810" i="6"/>
  <c r="C810" i="6"/>
  <c r="B810" i="6"/>
  <c r="R809" i="6"/>
  <c r="Q809" i="6"/>
  <c r="P809" i="6"/>
  <c r="F809" i="6"/>
  <c r="E809" i="6"/>
  <c r="C809" i="6"/>
  <c r="B809" i="6"/>
  <c r="R808" i="6"/>
  <c r="Q808" i="6"/>
  <c r="P808" i="6"/>
  <c r="F808" i="6"/>
  <c r="E808" i="6"/>
  <c r="C808" i="6"/>
  <c r="B808" i="6"/>
  <c r="R807" i="6"/>
  <c r="Q807" i="6"/>
  <c r="P807" i="6"/>
  <c r="F807" i="6"/>
  <c r="E807" i="6"/>
  <c r="C807" i="6"/>
  <c r="B807" i="6"/>
  <c r="R806" i="6"/>
  <c r="Q806" i="6"/>
  <c r="P806" i="6"/>
  <c r="F806" i="6"/>
  <c r="E806" i="6"/>
  <c r="C806" i="6"/>
  <c r="B806" i="6"/>
  <c r="R805" i="6"/>
  <c r="Q805" i="6"/>
  <c r="P805" i="6"/>
  <c r="F805" i="6"/>
  <c r="E805" i="6"/>
  <c r="C805" i="6"/>
  <c r="B805" i="6"/>
  <c r="R804" i="6"/>
  <c r="Q804" i="6"/>
  <c r="P804" i="6"/>
  <c r="F804" i="6"/>
  <c r="E804" i="6"/>
  <c r="C804" i="6"/>
  <c r="B804" i="6"/>
  <c r="R803" i="6"/>
  <c r="Q803" i="6"/>
  <c r="P803" i="6"/>
  <c r="F803" i="6"/>
  <c r="E803" i="6"/>
  <c r="C803" i="6"/>
  <c r="B803" i="6"/>
  <c r="R802" i="6"/>
  <c r="Q802" i="6"/>
  <c r="P802" i="6"/>
  <c r="F802" i="6"/>
  <c r="E802" i="6"/>
  <c r="C802" i="6"/>
  <c r="B802" i="6"/>
  <c r="R801" i="6"/>
  <c r="Q801" i="6"/>
  <c r="P801" i="6"/>
  <c r="F801" i="6"/>
  <c r="E801" i="6"/>
  <c r="C801" i="6"/>
  <c r="B801" i="6"/>
  <c r="R800" i="6"/>
  <c r="Q800" i="6"/>
  <c r="P800" i="6"/>
  <c r="F800" i="6"/>
  <c r="E800" i="6"/>
  <c r="C800" i="6"/>
  <c r="B800" i="6"/>
  <c r="R799" i="6"/>
  <c r="Q799" i="6"/>
  <c r="P799" i="6"/>
  <c r="F799" i="6"/>
  <c r="E799" i="6"/>
  <c r="C799" i="6"/>
  <c r="B799" i="6"/>
  <c r="R798" i="6"/>
  <c r="Q798" i="6"/>
  <c r="P798" i="6"/>
  <c r="F798" i="6"/>
  <c r="E798" i="6"/>
  <c r="C798" i="6"/>
  <c r="B798" i="6"/>
  <c r="R797" i="6"/>
  <c r="Q797" i="6"/>
  <c r="P797" i="6"/>
  <c r="F797" i="6"/>
  <c r="E797" i="6"/>
  <c r="C797" i="6"/>
  <c r="B797" i="6"/>
  <c r="R796" i="6"/>
  <c r="Q796" i="6"/>
  <c r="P796" i="6"/>
  <c r="F796" i="6"/>
  <c r="E796" i="6"/>
  <c r="C796" i="6"/>
  <c r="B796" i="6"/>
  <c r="R795" i="6"/>
  <c r="Q795" i="6"/>
  <c r="P795" i="6"/>
  <c r="F795" i="6"/>
  <c r="E795" i="6"/>
  <c r="C795" i="6"/>
  <c r="B795" i="6"/>
  <c r="R794" i="6"/>
  <c r="Q794" i="6"/>
  <c r="P794" i="6"/>
  <c r="F794" i="6"/>
  <c r="E794" i="6"/>
  <c r="C794" i="6"/>
  <c r="B794" i="6"/>
  <c r="R793" i="6"/>
  <c r="Q793" i="6"/>
  <c r="P793" i="6"/>
  <c r="F793" i="6"/>
  <c r="E793" i="6"/>
  <c r="C793" i="6"/>
  <c r="B793" i="6"/>
  <c r="R792" i="6"/>
  <c r="Q792" i="6"/>
  <c r="P792" i="6"/>
  <c r="F792" i="6"/>
  <c r="E792" i="6"/>
  <c r="C792" i="6"/>
  <c r="B792" i="6"/>
  <c r="R791" i="6"/>
  <c r="Q791" i="6"/>
  <c r="P791" i="6"/>
  <c r="F791" i="6"/>
  <c r="E791" i="6"/>
  <c r="C791" i="6"/>
  <c r="B791" i="6"/>
  <c r="R790" i="6"/>
  <c r="Q790" i="6"/>
  <c r="P790" i="6"/>
  <c r="F790" i="6"/>
  <c r="E790" i="6"/>
  <c r="C790" i="6"/>
  <c r="B790" i="6"/>
  <c r="R789" i="6"/>
  <c r="Q789" i="6"/>
  <c r="P789" i="6"/>
  <c r="F789" i="6"/>
  <c r="E789" i="6"/>
  <c r="C789" i="6"/>
  <c r="B789" i="6"/>
  <c r="R788" i="6"/>
  <c r="Q788" i="6"/>
  <c r="P788" i="6"/>
  <c r="F788" i="6"/>
  <c r="E788" i="6"/>
  <c r="C788" i="6"/>
  <c r="B788" i="6"/>
  <c r="R787" i="6"/>
  <c r="Q787" i="6"/>
  <c r="P787" i="6"/>
  <c r="F787" i="6"/>
  <c r="E787" i="6"/>
  <c r="C787" i="6"/>
  <c r="B787" i="6"/>
  <c r="R786" i="6"/>
  <c r="Q786" i="6"/>
  <c r="P786" i="6"/>
  <c r="F786" i="6"/>
  <c r="E786" i="6"/>
  <c r="C786" i="6"/>
  <c r="B786" i="6"/>
  <c r="R785" i="6"/>
  <c r="Q785" i="6"/>
  <c r="P785" i="6"/>
  <c r="F785" i="6"/>
  <c r="E785" i="6"/>
  <c r="C785" i="6"/>
  <c r="B785" i="6"/>
  <c r="R784" i="6"/>
  <c r="Q784" i="6"/>
  <c r="P784" i="6"/>
  <c r="F784" i="6"/>
  <c r="E784" i="6"/>
  <c r="C784" i="6"/>
  <c r="B784" i="6"/>
  <c r="R783" i="6"/>
  <c r="Q783" i="6"/>
  <c r="P783" i="6"/>
  <c r="F783" i="6"/>
  <c r="E783" i="6"/>
  <c r="C783" i="6"/>
  <c r="B783" i="6"/>
  <c r="R782" i="6"/>
  <c r="Q782" i="6"/>
  <c r="P782" i="6"/>
  <c r="F782" i="6"/>
  <c r="E782" i="6"/>
  <c r="C782" i="6"/>
  <c r="B782" i="6"/>
  <c r="R781" i="6"/>
  <c r="Q781" i="6"/>
  <c r="P781" i="6"/>
  <c r="F781" i="6"/>
  <c r="E781" i="6"/>
  <c r="C781" i="6"/>
  <c r="B781" i="6"/>
  <c r="R780" i="6"/>
  <c r="Q780" i="6"/>
  <c r="P780" i="6"/>
  <c r="F780" i="6"/>
  <c r="E780" i="6"/>
  <c r="C780" i="6"/>
  <c r="B780" i="6"/>
  <c r="R779" i="6"/>
  <c r="Q779" i="6"/>
  <c r="P779" i="6"/>
  <c r="F779" i="6"/>
  <c r="E779" i="6"/>
  <c r="C779" i="6"/>
  <c r="B779" i="6"/>
  <c r="R778" i="6"/>
  <c r="Q778" i="6"/>
  <c r="P778" i="6"/>
  <c r="F778" i="6"/>
  <c r="E778" i="6"/>
  <c r="C778" i="6"/>
  <c r="B778" i="6"/>
  <c r="R777" i="6"/>
  <c r="Q777" i="6"/>
  <c r="P777" i="6"/>
  <c r="F777" i="6"/>
  <c r="E777" i="6"/>
  <c r="C777" i="6"/>
  <c r="B777" i="6"/>
  <c r="R776" i="6"/>
  <c r="Q776" i="6"/>
  <c r="P776" i="6"/>
  <c r="F776" i="6"/>
  <c r="E776" i="6"/>
  <c r="C776" i="6"/>
  <c r="B776" i="6"/>
  <c r="R775" i="6"/>
  <c r="Q775" i="6"/>
  <c r="P775" i="6"/>
  <c r="F775" i="6"/>
  <c r="E775" i="6"/>
  <c r="C775" i="6"/>
  <c r="B775" i="6"/>
  <c r="R774" i="6"/>
  <c r="Q774" i="6"/>
  <c r="P774" i="6"/>
  <c r="F774" i="6"/>
  <c r="E774" i="6"/>
  <c r="C774" i="6"/>
  <c r="B774" i="6"/>
  <c r="R773" i="6"/>
  <c r="Q773" i="6"/>
  <c r="P773" i="6"/>
  <c r="F773" i="6"/>
  <c r="E773" i="6"/>
  <c r="C773" i="6"/>
  <c r="B773" i="6"/>
  <c r="R772" i="6"/>
  <c r="Q772" i="6"/>
  <c r="P772" i="6"/>
  <c r="F772" i="6"/>
  <c r="E772" i="6"/>
  <c r="C772" i="6"/>
  <c r="B772" i="6"/>
  <c r="R771" i="6"/>
  <c r="Q771" i="6"/>
  <c r="P771" i="6"/>
  <c r="F771" i="6"/>
  <c r="E771" i="6"/>
  <c r="C771" i="6"/>
  <c r="B771" i="6"/>
  <c r="R770" i="6"/>
  <c r="Q770" i="6"/>
  <c r="P770" i="6"/>
  <c r="F770" i="6"/>
  <c r="E770" i="6"/>
  <c r="C770" i="6"/>
  <c r="B770" i="6"/>
  <c r="R769" i="6"/>
  <c r="Q769" i="6"/>
  <c r="P769" i="6"/>
  <c r="F769" i="6"/>
  <c r="E769" i="6"/>
  <c r="C769" i="6"/>
  <c r="B769" i="6"/>
  <c r="R768" i="6"/>
  <c r="Q768" i="6"/>
  <c r="P768" i="6"/>
  <c r="F768" i="6"/>
  <c r="E768" i="6"/>
  <c r="C768" i="6"/>
  <c r="B768" i="6"/>
  <c r="R767" i="6"/>
  <c r="Q767" i="6"/>
  <c r="P767" i="6"/>
  <c r="F767" i="6"/>
  <c r="E767" i="6"/>
  <c r="C767" i="6"/>
  <c r="B767" i="6"/>
  <c r="R766" i="6"/>
  <c r="Q766" i="6"/>
  <c r="P766" i="6"/>
  <c r="F766" i="6"/>
  <c r="E766" i="6"/>
  <c r="C766" i="6"/>
  <c r="B766" i="6"/>
  <c r="R765" i="6"/>
  <c r="Q765" i="6"/>
  <c r="P765" i="6"/>
  <c r="F765" i="6"/>
  <c r="E765" i="6"/>
  <c r="C765" i="6"/>
  <c r="B765" i="6"/>
  <c r="R764" i="6"/>
  <c r="Q764" i="6"/>
  <c r="P764" i="6"/>
  <c r="F764" i="6"/>
  <c r="E764" i="6"/>
  <c r="C764" i="6"/>
  <c r="B764" i="6"/>
  <c r="R763" i="6"/>
  <c r="Q763" i="6"/>
  <c r="P763" i="6"/>
  <c r="F763" i="6"/>
  <c r="E763" i="6"/>
  <c r="C763" i="6"/>
  <c r="B763" i="6"/>
  <c r="R762" i="6"/>
  <c r="Q762" i="6"/>
  <c r="P762" i="6"/>
  <c r="F762" i="6"/>
  <c r="E762" i="6"/>
  <c r="C762" i="6"/>
  <c r="B762" i="6"/>
  <c r="R761" i="6"/>
  <c r="Q761" i="6"/>
  <c r="P761" i="6"/>
  <c r="F761" i="6"/>
  <c r="E761" i="6"/>
  <c r="C761" i="6"/>
  <c r="B761" i="6"/>
  <c r="R760" i="6"/>
  <c r="Q760" i="6"/>
  <c r="P760" i="6"/>
  <c r="F760" i="6"/>
  <c r="E760" i="6"/>
  <c r="C760" i="6"/>
  <c r="B760" i="6"/>
  <c r="R759" i="6"/>
  <c r="Q759" i="6"/>
  <c r="P759" i="6"/>
  <c r="F759" i="6"/>
  <c r="E759" i="6"/>
  <c r="C759" i="6"/>
  <c r="B759" i="6"/>
  <c r="R758" i="6"/>
  <c r="Q758" i="6"/>
  <c r="P758" i="6"/>
  <c r="F758" i="6"/>
  <c r="E758" i="6"/>
  <c r="C758" i="6"/>
  <c r="B758" i="6"/>
  <c r="R757" i="6"/>
  <c r="Q757" i="6"/>
  <c r="P757" i="6"/>
  <c r="F757" i="6"/>
  <c r="E757" i="6"/>
  <c r="C757" i="6"/>
  <c r="B757" i="6"/>
  <c r="R756" i="6"/>
  <c r="Q756" i="6"/>
  <c r="P756" i="6"/>
  <c r="F756" i="6"/>
  <c r="E756" i="6"/>
  <c r="C756" i="6"/>
  <c r="B756" i="6"/>
  <c r="R755" i="6"/>
  <c r="Q755" i="6"/>
  <c r="P755" i="6"/>
  <c r="F755" i="6"/>
  <c r="E755" i="6"/>
  <c r="C755" i="6"/>
  <c r="B755" i="6"/>
  <c r="R754" i="6"/>
  <c r="Q754" i="6"/>
  <c r="P754" i="6"/>
  <c r="F754" i="6"/>
  <c r="E754" i="6"/>
  <c r="C754" i="6"/>
  <c r="B754" i="6"/>
  <c r="R753" i="6"/>
  <c r="Q753" i="6"/>
  <c r="P753" i="6"/>
  <c r="F753" i="6"/>
  <c r="E753" i="6"/>
  <c r="C753" i="6"/>
  <c r="B753" i="6"/>
  <c r="R752" i="6"/>
  <c r="Q752" i="6"/>
  <c r="P752" i="6"/>
  <c r="F752" i="6"/>
  <c r="E752" i="6"/>
  <c r="C752" i="6"/>
  <c r="B752" i="6"/>
  <c r="R751" i="6"/>
  <c r="Q751" i="6"/>
  <c r="P751" i="6"/>
  <c r="F751" i="6"/>
  <c r="E751" i="6"/>
  <c r="C751" i="6"/>
  <c r="B751" i="6"/>
  <c r="R750" i="6"/>
  <c r="Q750" i="6"/>
  <c r="P750" i="6"/>
  <c r="F750" i="6"/>
  <c r="E750" i="6"/>
  <c r="C750" i="6"/>
  <c r="B750" i="6"/>
  <c r="R749" i="6"/>
  <c r="Q749" i="6"/>
  <c r="P749" i="6"/>
  <c r="F749" i="6"/>
  <c r="E749" i="6"/>
  <c r="C749" i="6"/>
  <c r="B749" i="6"/>
  <c r="R748" i="6"/>
  <c r="Q748" i="6"/>
  <c r="P748" i="6"/>
  <c r="F748" i="6"/>
  <c r="E748" i="6"/>
  <c r="C748" i="6"/>
  <c r="B748" i="6"/>
  <c r="R747" i="6"/>
  <c r="Q747" i="6"/>
  <c r="P747" i="6"/>
  <c r="F747" i="6"/>
  <c r="E747" i="6"/>
  <c r="C747" i="6"/>
  <c r="B747" i="6"/>
  <c r="R746" i="6"/>
  <c r="Q746" i="6"/>
  <c r="P746" i="6"/>
  <c r="F746" i="6"/>
  <c r="E746" i="6"/>
  <c r="C746" i="6"/>
  <c r="B746" i="6"/>
  <c r="R745" i="6"/>
  <c r="Q745" i="6"/>
  <c r="P745" i="6"/>
  <c r="F745" i="6"/>
  <c r="E745" i="6"/>
  <c r="C745" i="6"/>
  <c r="B745" i="6"/>
  <c r="R744" i="6"/>
  <c r="Q744" i="6"/>
  <c r="P744" i="6"/>
  <c r="F744" i="6"/>
  <c r="E744" i="6"/>
  <c r="C744" i="6"/>
  <c r="B744" i="6"/>
  <c r="R743" i="6"/>
  <c r="Q743" i="6"/>
  <c r="P743" i="6"/>
  <c r="F743" i="6"/>
  <c r="E743" i="6"/>
  <c r="C743" i="6"/>
  <c r="B743" i="6"/>
  <c r="R742" i="6"/>
  <c r="Q742" i="6"/>
  <c r="P742" i="6"/>
  <c r="F742" i="6"/>
  <c r="E742" i="6"/>
  <c r="C742" i="6"/>
  <c r="B742" i="6"/>
  <c r="R741" i="6"/>
  <c r="Q741" i="6"/>
  <c r="P741" i="6"/>
  <c r="F741" i="6"/>
  <c r="E741" i="6"/>
  <c r="C741" i="6"/>
  <c r="B741" i="6"/>
  <c r="R740" i="6"/>
  <c r="Q740" i="6"/>
  <c r="P740" i="6"/>
  <c r="F740" i="6"/>
  <c r="E740" i="6"/>
  <c r="C740" i="6"/>
  <c r="B740" i="6"/>
  <c r="R739" i="6"/>
  <c r="Q739" i="6"/>
  <c r="P739" i="6"/>
  <c r="F739" i="6"/>
  <c r="E739" i="6"/>
  <c r="C739" i="6"/>
  <c r="B739" i="6"/>
  <c r="R738" i="6"/>
  <c r="Q738" i="6"/>
  <c r="P738" i="6"/>
  <c r="F738" i="6"/>
  <c r="E738" i="6"/>
  <c r="C738" i="6"/>
  <c r="B738" i="6"/>
  <c r="R737" i="6"/>
  <c r="Q737" i="6"/>
  <c r="P737" i="6"/>
  <c r="F737" i="6"/>
  <c r="E737" i="6"/>
  <c r="C737" i="6"/>
  <c r="B737" i="6"/>
  <c r="R736" i="6"/>
  <c r="Q736" i="6"/>
  <c r="P736" i="6"/>
  <c r="F736" i="6"/>
  <c r="E736" i="6"/>
  <c r="C736" i="6"/>
  <c r="B736" i="6"/>
  <c r="R735" i="6"/>
  <c r="Q735" i="6"/>
  <c r="P735" i="6"/>
  <c r="F735" i="6"/>
  <c r="E735" i="6"/>
  <c r="C735" i="6"/>
  <c r="B735" i="6"/>
  <c r="R734" i="6"/>
  <c r="Q734" i="6"/>
  <c r="P734" i="6"/>
  <c r="F734" i="6"/>
  <c r="E734" i="6"/>
  <c r="C734" i="6"/>
  <c r="B734" i="6"/>
  <c r="R733" i="6"/>
  <c r="Q733" i="6"/>
  <c r="P733" i="6"/>
  <c r="F733" i="6"/>
  <c r="E733" i="6"/>
  <c r="C733" i="6"/>
  <c r="B733" i="6"/>
  <c r="R732" i="6"/>
  <c r="Q732" i="6"/>
  <c r="P732" i="6"/>
  <c r="F732" i="6"/>
  <c r="E732" i="6"/>
  <c r="C732" i="6"/>
  <c r="B732" i="6"/>
  <c r="R731" i="6"/>
  <c r="Q731" i="6"/>
  <c r="P731" i="6"/>
  <c r="F731" i="6"/>
  <c r="E731" i="6"/>
  <c r="C731" i="6"/>
  <c r="B731" i="6"/>
  <c r="R730" i="6"/>
  <c r="Q730" i="6"/>
  <c r="P730" i="6"/>
  <c r="F730" i="6"/>
  <c r="E730" i="6"/>
  <c r="C730" i="6"/>
  <c r="B730" i="6"/>
  <c r="R729" i="6"/>
  <c r="Q729" i="6"/>
  <c r="P729" i="6"/>
  <c r="F729" i="6"/>
  <c r="E729" i="6"/>
  <c r="C729" i="6"/>
  <c r="B729" i="6"/>
  <c r="R728" i="6"/>
  <c r="Q728" i="6"/>
  <c r="P728" i="6"/>
  <c r="F728" i="6"/>
  <c r="E728" i="6"/>
  <c r="C728" i="6"/>
  <c r="B728" i="6"/>
  <c r="R727" i="6"/>
  <c r="Q727" i="6"/>
  <c r="P727" i="6"/>
  <c r="F727" i="6"/>
  <c r="E727" i="6"/>
  <c r="C727" i="6"/>
  <c r="B727" i="6"/>
  <c r="R726" i="6"/>
  <c r="Q726" i="6"/>
  <c r="P726" i="6"/>
  <c r="F726" i="6"/>
  <c r="E726" i="6"/>
  <c r="C726" i="6"/>
  <c r="B726" i="6"/>
  <c r="R725" i="6"/>
  <c r="Q725" i="6"/>
  <c r="P725" i="6"/>
  <c r="F725" i="6"/>
  <c r="E725" i="6"/>
  <c r="C725" i="6"/>
  <c r="B725" i="6"/>
  <c r="R724" i="6"/>
  <c r="Q724" i="6"/>
  <c r="P724" i="6"/>
  <c r="F724" i="6"/>
  <c r="E724" i="6"/>
  <c r="C724" i="6"/>
  <c r="B724" i="6"/>
  <c r="R723" i="6"/>
  <c r="Q723" i="6"/>
  <c r="P723" i="6"/>
  <c r="F723" i="6"/>
  <c r="E723" i="6"/>
  <c r="C723" i="6"/>
  <c r="B723" i="6"/>
  <c r="R722" i="6"/>
  <c r="Q722" i="6"/>
  <c r="P722" i="6"/>
  <c r="F722" i="6"/>
  <c r="E722" i="6"/>
  <c r="C722" i="6"/>
  <c r="B722" i="6"/>
  <c r="R721" i="6"/>
  <c r="Q721" i="6"/>
  <c r="P721" i="6"/>
  <c r="F721" i="6"/>
  <c r="E721" i="6"/>
  <c r="C721" i="6"/>
  <c r="B721" i="6"/>
  <c r="R720" i="6"/>
  <c r="Q720" i="6"/>
  <c r="P720" i="6"/>
  <c r="F720" i="6"/>
  <c r="E720" i="6"/>
  <c r="C720" i="6"/>
  <c r="B720" i="6"/>
  <c r="R719" i="6"/>
  <c r="Q719" i="6"/>
  <c r="P719" i="6"/>
  <c r="F719" i="6"/>
  <c r="E719" i="6"/>
  <c r="C719" i="6"/>
  <c r="B719" i="6"/>
  <c r="R718" i="6"/>
  <c r="Q718" i="6"/>
  <c r="P718" i="6"/>
  <c r="F718" i="6"/>
  <c r="E718" i="6"/>
  <c r="C718" i="6"/>
  <c r="B718" i="6"/>
  <c r="R717" i="6"/>
  <c r="Q717" i="6"/>
  <c r="P717" i="6"/>
  <c r="F717" i="6"/>
  <c r="E717" i="6"/>
  <c r="C717" i="6"/>
  <c r="B717" i="6"/>
  <c r="R716" i="6"/>
  <c r="Q716" i="6"/>
  <c r="P716" i="6"/>
  <c r="F716" i="6"/>
  <c r="E716" i="6"/>
  <c r="C716" i="6"/>
  <c r="B716" i="6"/>
  <c r="R715" i="6"/>
  <c r="Q715" i="6"/>
  <c r="P715" i="6"/>
  <c r="F715" i="6"/>
  <c r="E715" i="6"/>
  <c r="C715" i="6"/>
  <c r="B715" i="6"/>
  <c r="R714" i="6"/>
  <c r="Q714" i="6"/>
  <c r="P714" i="6"/>
  <c r="F714" i="6"/>
  <c r="E714" i="6"/>
  <c r="C714" i="6"/>
  <c r="B714" i="6"/>
  <c r="R713" i="6"/>
  <c r="Q713" i="6"/>
  <c r="P713" i="6"/>
  <c r="F713" i="6"/>
  <c r="E713" i="6"/>
  <c r="C713" i="6"/>
  <c r="B713" i="6"/>
  <c r="R712" i="6"/>
  <c r="Q712" i="6"/>
  <c r="P712" i="6"/>
  <c r="F712" i="6"/>
  <c r="E712" i="6"/>
  <c r="C712" i="6"/>
  <c r="B712" i="6"/>
  <c r="R711" i="6"/>
  <c r="Q711" i="6"/>
  <c r="P711" i="6"/>
  <c r="F711" i="6"/>
  <c r="E711" i="6"/>
  <c r="C711" i="6"/>
  <c r="B711" i="6"/>
  <c r="R710" i="6"/>
  <c r="Q710" i="6"/>
  <c r="P710" i="6"/>
  <c r="F710" i="6"/>
  <c r="E710" i="6"/>
  <c r="C710" i="6"/>
  <c r="B710" i="6"/>
  <c r="R709" i="6"/>
  <c r="Q709" i="6"/>
  <c r="P709" i="6"/>
  <c r="F709" i="6"/>
  <c r="E709" i="6"/>
  <c r="C709" i="6"/>
  <c r="B709" i="6"/>
  <c r="R708" i="6"/>
  <c r="Q708" i="6"/>
  <c r="P708" i="6"/>
  <c r="F708" i="6"/>
  <c r="E708" i="6"/>
  <c r="C708" i="6"/>
  <c r="B708" i="6"/>
  <c r="R707" i="6"/>
  <c r="Q707" i="6"/>
  <c r="P707" i="6"/>
  <c r="F707" i="6"/>
  <c r="E707" i="6"/>
  <c r="C707" i="6"/>
  <c r="B707" i="6"/>
  <c r="R706" i="6"/>
  <c r="Q706" i="6"/>
  <c r="P706" i="6"/>
  <c r="F706" i="6"/>
  <c r="E706" i="6"/>
  <c r="C706" i="6"/>
  <c r="B706" i="6"/>
  <c r="R705" i="6"/>
  <c r="Q705" i="6"/>
  <c r="P705" i="6"/>
  <c r="F705" i="6"/>
  <c r="E705" i="6"/>
  <c r="C705" i="6"/>
  <c r="B705" i="6"/>
  <c r="R704" i="6"/>
  <c r="Q704" i="6"/>
  <c r="P704" i="6"/>
  <c r="F704" i="6"/>
  <c r="E704" i="6"/>
  <c r="C704" i="6"/>
  <c r="B704" i="6"/>
  <c r="R703" i="6"/>
  <c r="Q703" i="6"/>
  <c r="P703" i="6"/>
  <c r="F703" i="6"/>
  <c r="E703" i="6"/>
  <c r="C703" i="6"/>
  <c r="B703" i="6"/>
  <c r="R702" i="6"/>
  <c r="Q702" i="6"/>
  <c r="P702" i="6"/>
  <c r="F702" i="6"/>
  <c r="E702" i="6"/>
  <c r="C702" i="6"/>
  <c r="B702" i="6"/>
  <c r="R701" i="6"/>
  <c r="Q701" i="6"/>
  <c r="P701" i="6"/>
  <c r="F701" i="6"/>
  <c r="E701" i="6"/>
  <c r="C701" i="6"/>
  <c r="B701" i="6"/>
  <c r="R700" i="6"/>
  <c r="Q700" i="6"/>
  <c r="P700" i="6"/>
  <c r="F700" i="6"/>
  <c r="E700" i="6"/>
  <c r="C700" i="6"/>
  <c r="B700" i="6"/>
  <c r="R699" i="6"/>
  <c r="Q699" i="6"/>
  <c r="P699" i="6"/>
  <c r="F699" i="6"/>
  <c r="E699" i="6"/>
  <c r="C699" i="6"/>
  <c r="B699" i="6"/>
  <c r="R698" i="6"/>
  <c r="Q698" i="6"/>
  <c r="P698" i="6"/>
  <c r="F698" i="6"/>
  <c r="E698" i="6"/>
  <c r="C698" i="6"/>
  <c r="B698" i="6"/>
  <c r="R697" i="6"/>
  <c r="Q697" i="6"/>
  <c r="P697" i="6"/>
  <c r="F697" i="6"/>
  <c r="E697" i="6"/>
  <c r="C697" i="6"/>
  <c r="B697" i="6"/>
  <c r="R696" i="6"/>
  <c r="Q696" i="6"/>
  <c r="P696" i="6"/>
  <c r="F696" i="6"/>
  <c r="E696" i="6"/>
  <c r="C696" i="6"/>
  <c r="B696" i="6"/>
  <c r="R695" i="6"/>
  <c r="Q695" i="6"/>
  <c r="P695" i="6"/>
  <c r="F695" i="6"/>
  <c r="E695" i="6"/>
  <c r="C695" i="6"/>
  <c r="B695" i="6"/>
  <c r="R694" i="6"/>
  <c r="Q694" i="6"/>
  <c r="P694" i="6"/>
  <c r="F694" i="6"/>
  <c r="E694" i="6"/>
  <c r="C694" i="6"/>
  <c r="B694" i="6"/>
  <c r="R693" i="6"/>
  <c r="Q693" i="6"/>
  <c r="P693" i="6"/>
  <c r="F693" i="6"/>
  <c r="E693" i="6"/>
  <c r="C693" i="6"/>
  <c r="B693" i="6"/>
  <c r="R692" i="6"/>
  <c r="Q692" i="6"/>
  <c r="P692" i="6"/>
  <c r="F692" i="6"/>
  <c r="E692" i="6"/>
  <c r="C692" i="6"/>
  <c r="B692" i="6"/>
  <c r="R691" i="6"/>
  <c r="Q691" i="6"/>
  <c r="P691" i="6"/>
  <c r="F691" i="6"/>
  <c r="E691" i="6"/>
  <c r="C691" i="6"/>
  <c r="B691" i="6"/>
  <c r="R690" i="6"/>
  <c r="Q690" i="6"/>
  <c r="P690" i="6"/>
  <c r="F690" i="6"/>
  <c r="E690" i="6"/>
  <c r="C690" i="6"/>
  <c r="B690" i="6"/>
  <c r="R689" i="6"/>
  <c r="Q689" i="6"/>
  <c r="P689" i="6"/>
  <c r="F689" i="6"/>
  <c r="E689" i="6"/>
  <c r="C689" i="6"/>
  <c r="B689" i="6"/>
  <c r="R688" i="6"/>
  <c r="Q688" i="6"/>
  <c r="P688" i="6"/>
  <c r="F688" i="6"/>
  <c r="E688" i="6"/>
  <c r="C688" i="6"/>
  <c r="B688" i="6"/>
  <c r="R687" i="6"/>
  <c r="Q687" i="6"/>
  <c r="P687" i="6"/>
  <c r="F687" i="6"/>
  <c r="E687" i="6"/>
  <c r="C687" i="6"/>
  <c r="B687" i="6"/>
  <c r="R686" i="6"/>
  <c r="Q686" i="6"/>
  <c r="P686" i="6"/>
  <c r="F686" i="6"/>
  <c r="E686" i="6"/>
  <c r="C686" i="6"/>
  <c r="B686" i="6"/>
  <c r="R685" i="6"/>
  <c r="Q685" i="6"/>
  <c r="P685" i="6"/>
  <c r="F685" i="6"/>
  <c r="E685" i="6"/>
  <c r="C685" i="6"/>
  <c r="B685" i="6"/>
  <c r="R684" i="6"/>
  <c r="Q684" i="6"/>
  <c r="P684" i="6"/>
  <c r="F684" i="6"/>
  <c r="E684" i="6"/>
  <c r="C684" i="6"/>
  <c r="B684" i="6"/>
  <c r="R683" i="6"/>
  <c r="Q683" i="6"/>
  <c r="P683" i="6"/>
  <c r="F683" i="6"/>
  <c r="E683" i="6"/>
  <c r="C683" i="6"/>
  <c r="B683" i="6"/>
  <c r="R682" i="6"/>
  <c r="Q682" i="6"/>
  <c r="P682" i="6"/>
  <c r="F682" i="6"/>
  <c r="E682" i="6"/>
  <c r="C682" i="6"/>
  <c r="B682" i="6"/>
  <c r="R681" i="6"/>
  <c r="Q681" i="6"/>
  <c r="P681" i="6"/>
  <c r="F681" i="6"/>
  <c r="E681" i="6"/>
  <c r="C681" i="6"/>
  <c r="B681" i="6"/>
  <c r="R680" i="6"/>
  <c r="Q680" i="6"/>
  <c r="P680" i="6"/>
  <c r="F680" i="6"/>
  <c r="E680" i="6"/>
  <c r="C680" i="6"/>
  <c r="B680" i="6"/>
  <c r="R679" i="6"/>
  <c r="Q679" i="6"/>
  <c r="P679" i="6"/>
  <c r="F679" i="6"/>
  <c r="E679" i="6"/>
  <c r="C679" i="6"/>
  <c r="B679" i="6"/>
  <c r="R678" i="6"/>
  <c r="Q678" i="6"/>
  <c r="P678" i="6"/>
  <c r="F678" i="6"/>
  <c r="E678" i="6"/>
  <c r="C678" i="6"/>
  <c r="B678" i="6"/>
  <c r="R677" i="6"/>
  <c r="Q677" i="6"/>
  <c r="P677" i="6"/>
  <c r="F677" i="6"/>
  <c r="E677" i="6"/>
  <c r="C677" i="6"/>
  <c r="B677" i="6"/>
  <c r="R676" i="6"/>
  <c r="Q676" i="6"/>
  <c r="P676" i="6"/>
  <c r="F676" i="6"/>
  <c r="E676" i="6"/>
  <c r="C676" i="6"/>
  <c r="B676" i="6"/>
  <c r="R675" i="6"/>
  <c r="Q675" i="6"/>
  <c r="P675" i="6"/>
  <c r="F675" i="6"/>
  <c r="E675" i="6"/>
  <c r="C675" i="6"/>
  <c r="B675" i="6"/>
  <c r="R674" i="6"/>
  <c r="Q674" i="6"/>
  <c r="P674" i="6"/>
  <c r="F674" i="6"/>
  <c r="E674" i="6"/>
  <c r="C674" i="6"/>
  <c r="B674" i="6"/>
  <c r="R673" i="6"/>
  <c r="Q673" i="6"/>
  <c r="P673" i="6"/>
  <c r="F673" i="6"/>
  <c r="E673" i="6"/>
  <c r="C673" i="6"/>
  <c r="B673" i="6"/>
  <c r="R672" i="6"/>
  <c r="Q672" i="6"/>
  <c r="P672" i="6"/>
  <c r="F672" i="6"/>
  <c r="E672" i="6"/>
  <c r="C672" i="6"/>
  <c r="B672" i="6"/>
  <c r="R671" i="6"/>
  <c r="Q671" i="6"/>
  <c r="P671" i="6"/>
  <c r="F671" i="6"/>
  <c r="E671" i="6"/>
  <c r="C671" i="6"/>
  <c r="B671" i="6"/>
  <c r="R670" i="6"/>
  <c r="Q670" i="6"/>
  <c r="P670" i="6"/>
  <c r="F670" i="6"/>
  <c r="E670" i="6"/>
  <c r="C670" i="6"/>
  <c r="B670" i="6"/>
  <c r="R669" i="6"/>
  <c r="Q669" i="6"/>
  <c r="P669" i="6"/>
  <c r="F669" i="6"/>
  <c r="E669" i="6"/>
  <c r="C669" i="6"/>
  <c r="B669" i="6"/>
  <c r="R668" i="6"/>
  <c r="Q668" i="6"/>
  <c r="P668" i="6"/>
  <c r="F668" i="6"/>
  <c r="E668" i="6"/>
  <c r="C668" i="6"/>
  <c r="B668" i="6"/>
  <c r="R667" i="6"/>
  <c r="Q667" i="6"/>
  <c r="P667" i="6"/>
  <c r="F667" i="6"/>
  <c r="E667" i="6"/>
  <c r="C667" i="6"/>
  <c r="B667" i="6"/>
  <c r="R666" i="6"/>
  <c r="Q666" i="6"/>
  <c r="P666" i="6"/>
  <c r="F666" i="6"/>
  <c r="E666" i="6"/>
  <c r="C666" i="6"/>
  <c r="B666" i="6"/>
  <c r="R665" i="6"/>
  <c r="Q665" i="6"/>
  <c r="P665" i="6"/>
  <c r="F665" i="6"/>
  <c r="E665" i="6"/>
  <c r="C665" i="6"/>
  <c r="B665" i="6"/>
  <c r="R664" i="6"/>
  <c r="Q664" i="6"/>
  <c r="P664" i="6"/>
  <c r="F664" i="6"/>
  <c r="E664" i="6"/>
  <c r="C664" i="6"/>
  <c r="B664" i="6"/>
  <c r="R663" i="6"/>
  <c r="Q663" i="6"/>
  <c r="P663" i="6"/>
  <c r="F663" i="6"/>
  <c r="E663" i="6"/>
  <c r="C663" i="6"/>
  <c r="B663" i="6"/>
  <c r="R662" i="6"/>
  <c r="Q662" i="6"/>
  <c r="P662" i="6"/>
  <c r="F662" i="6"/>
  <c r="E662" i="6"/>
  <c r="C662" i="6"/>
  <c r="B662" i="6"/>
  <c r="R661" i="6"/>
  <c r="Q661" i="6"/>
  <c r="P661" i="6"/>
  <c r="F661" i="6"/>
  <c r="E661" i="6"/>
  <c r="C661" i="6"/>
  <c r="B661" i="6"/>
  <c r="R660" i="6"/>
  <c r="Q660" i="6"/>
  <c r="P660" i="6"/>
  <c r="F660" i="6"/>
  <c r="E660" i="6"/>
  <c r="C660" i="6"/>
  <c r="B660" i="6"/>
  <c r="R659" i="6"/>
  <c r="Q659" i="6"/>
  <c r="P659" i="6"/>
  <c r="F659" i="6"/>
  <c r="E659" i="6"/>
  <c r="C659" i="6"/>
  <c r="B659" i="6"/>
  <c r="R658" i="6"/>
  <c r="Q658" i="6"/>
  <c r="P658" i="6"/>
  <c r="F658" i="6"/>
  <c r="E658" i="6"/>
  <c r="C658" i="6"/>
  <c r="B658" i="6"/>
  <c r="R657" i="6"/>
  <c r="Q657" i="6"/>
  <c r="P657" i="6"/>
  <c r="F657" i="6"/>
  <c r="E657" i="6"/>
  <c r="C657" i="6"/>
  <c r="B657" i="6"/>
  <c r="R656" i="6"/>
  <c r="Q656" i="6"/>
  <c r="P656" i="6"/>
  <c r="F656" i="6"/>
  <c r="E656" i="6"/>
  <c r="C656" i="6"/>
  <c r="B656" i="6"/>
  <c r="R655" i="6"/>
  <c r="Q655" i="6"/>
  <c r="P655" i="6"/>
  <c r="F655" i="6"/>
  <c r="E655" i="6"/>
  <c r="C655" i="6"/>
  <c r="B655" i="6"/>
  <c r="R654" i="6"/>
  <c r="Q654" i="6"/>
  <c r="P654" i="6"/>
  <c r="F654" i="6"/>
  <c r="E654" i="6"/>
  <c r="C654" i="6"/>
  <c r="B654" i="6"/>
  <c r="R653" i="6"/>
  <c r="Q653" i="6"/>
  <c r="P653" i="6"/>
  <c r="F653" i="6"/>
  <c r="E653" i="6"/>
  <c r="C653" i="6"/>
  <c r="B653" i="6"/>
  <c r="R652" i="6"/>
  <c r="Q652" i="6"/>
  <c r="P652" i="6"/>
  <c r="F652" i="6"/>
  <c r="E652" i="6"/>
  <c r="C652" i="6"/>
  <c r="B652" i="6"/>
  <c r="R651" i="6"/>
  <c r="Q651" i="6"/>
  <c r="P651" i="6"/>
  <c r="F651" i="6"/>
  <c r="E651" i="6"/>
  <c r="C651" i="6"/>
  <c r="B651" i="6"/>
  <c r="R650" i="6"/>
  <c r="Q650" i="6"/>
  <c r="P650" i="6"/>
  <c r="F650" i="6"/>
  <c r="E650" i="6"/>
  <c r="C650" i="6"/>
  <c r="B650" i="6"/>
  <c r="R649" i="6"/>
  <c r="Q649" i="6"/>
  <c r="P649" i="6"/>
  <c r="F649" i="6"/>
  <c r="E649" i="6"/>
  <c r="C649" i="6"/>
  <c r="B649" i="6"/>
  <c r="R648" i="6"/>
  <c r="Q648" i="6"/>
  <c r="P648" i="6"/>
  <c r="F648" i="6"/>
  <c r="E648" i="6"/>
  <c r="C648" i="6"/>
  <c r="B648" i="6"/>
  <c r="R647" i="6"/>
  <c r="Q647" i="6"/>
  <c r="P647" i="6"/>
  <c r="F647" i="6"/>
  <c r="E647" i="6"/>
  <c r="C647" i="6"/>
  <c r="B647" i="6"/>
  <c r="R646" i="6"/>
  <c r="Q646" i="6"/>
  <c r="P646" i="6"/>
  <c r="F646" i="6"/>
  <c r="E646" i="6"/>
  <c r="C646" i="6"/>
  <c r="B646" i="6"/>
  <c r="R645" i="6"/>
  <c r="Q645" i="6"/>
  <c r="P645" i="6"/>
  <c r="F645" i="6"/>
  <c r="E645" i="6"/>
  <c r="C645" i="6"/>
  <c r="B645" i="6"/>
  <c r="R644" i="6"/>
  <c r="Q644" i="6"/>
  <c r="P644" i="6"/>
  <c r="F644" i="6"/>
  <c r="E644" i="6"/>
  <c r="C644" i="6"/>
  <c r="B644" i="6"/>
  <c r="R643" i="6"/>
  <c r="Q643" i="6"/>
  <c r="P643" i="6"/>
  <c r="F643" i="6"/>
  <c r="E643" i="6"/>
  <c r="C643" i="6"/>
  <c r="B643" i="6"/>
  <c r="R642" i="6"/>
  <c r="Q642" i="6"/>
  <c r="P642" i="6"/>
  <c r="F642" i="6"/>
  <c r="E642" i="6"/>
  <c r="C642" i="6"/>
  <c r="B642" i="6"/>
  <c r="R641" i="6"/>
  <c r="Q641" i="6"/>
  <c r="P641" i="6"/>
  <c r="F641" i="6"/>
  <c r="E641" i="6"/>
  <c r="C641" i="6"/>
  <c r="B641" i="6"/>
  <c r="R640" i="6"/>
  <c r="Q640" i="6"/>
  <c r="P640" i="6"/>
  <c r="F640" i="6"/>
  <c r="E640" i="6"/>
  <c r="C640" i="6"/>
  <c r="B640" i="6"/>
  <c r="R639" i="6"/>
  <c r="Q639" i="6"/>
  <c r="P639" i="6"/>
  <c r="F639" i="6"/>
  <c r="E639" i="6"/>
  <c r="C639" i="6"/>
  <c r="B639" i="6"/>
  <c r="R638" i="6"/>
  <c r="Q638" i="6"/>
  <c r="P638" i="6"/>
  <c r="F638" i="6"/>
  <c r="E638" i="6"/>
  <c r="C638" i="6"/>
  <c r="B638" i="6"/>
  <c r="R637" i="6"/>
  <c r="Q637" i="6"/>
  <c r="P637" i="6"/>
  <c r="F637" i="6"/>
  <c r="E637" i="6"/>
  <c r="C637" i="6"/>
  <c r="B637" i="6"/>
  <c r="R636" i="6"/>
  <c r="Q636" i="6"/>
  <c r="P636" i="6"/>
  <c r="F636" i="6"/>
  <c r="E636" i="6"/>
  <c r="C636" i="6"/>
  <c r="B636" i="6"/>
  <c r="R635" i="6"/>
  <c r="Q635" i="6"/>
  <c r="P635" i="6"/>
  <c r="F635" i="6"/>
  <c r="E635" i="6"/>
  <c r="C635" i="6"/>
  <c r="B635" i="6"/>
  <c r="R634" i="6"/>
  <c r="Q634" i="6"/>
  <c r="P634" i="6"/>
  <c r="F634" i="6"/>
  <c r="E634" i="6"/>
  <c r="C634" i="6"/>
  <c r="B634" i="6"/>
  <c r="R633" i="6"/>
  <c r="Q633" i="6"/>
  <c r="P633" i="6"/>
  <c r="F633" i="6"/>
  <c r="E633" i="6"/>
  <c r="C633" i="6"/>
  <c r="B633" i="6"/>
  <c r="R632" i="6"/>
  <c r="Q632" i="6"/>
  <c r="P632" i="6"/>
  <c r="F632" i="6"/>
  <c r="E632" i="6"/>
  <c r="C632" i="6"/>
  <c r="B632" i="6"/>
  <c r="R631" i="6"/>
  <c r="Q631" i="6"/>
  <c r="P631" i="6"/>
  <c r="F631" i="6"/>
  <c r="E631" i="6"/>
  <c r="C631" i="6"/>
  <c r="B631" i="6"/>
  <c r="R630" i="6"/>
  <c r="Q630" i="6"/>
  <c r="P630" i="6"/>
  <c r="F630" i="6"/>
  <c r="E630" i="6"/>
  <c r="C630" i="6"/>
  <c r="B630" i="6"/>
  <c r="R629" i="6"/>
  <c r="Q629" i="6"/>
  <c r="P629" i="6"/>
  <c r="F629" i="6"/>
  <c r="E629" i="6"/>
  <c r="C629" i="6"/>
  <c r="B629" i="6"/>
  <c r="R628" i="6"/>
  <c r="Q628" i="6"/>
  <c r="P628" i="6"/>
  <c r="F628" i="6"/>
  <c r="E628" i="6"/>
  <c r="C628" i="6"/>
  <c r="B628" i="6"/>
  <c r="R627" i="6"/>
  <c r="Q627" i="6"/>
  <c r="P627" i="6"/>
  <c r="F627" i="6"/>
  <c r="E627" i="6"/>
  <c r="C627" i="6"/>
  <c r="B627" i="6"/>
  <c r="R626" i="6"/>
  <c r="Q626" i="6"/>
  <c r="P626" i="6"/>
  <c r="F626" i="6"/>
  <c r="E626" i="6"/>
  <c r="C626" i="6"/>
  <c r="B626" i="6"/>
  <c r="R625" i="6"/>
  <c r="Q625" i="6"/>
  <c r="P625" i="6"/>
  <c r="F625" i="6"/>
  <c r="E625" i="6"/>
  <c r="C625" i="6"/>
  <c r="B625" i="6"/>
  <c r="R624" i="6"/>
  <c r="Q624" i="6"/>
  <c r="P624" i="6"/>
  <c r="F624" i="6"/>
  <c r="E624" i="6"/>
  <c r="C624" i="6"/>
  <c r="B624" i="6"/>
  <c r="R623" i="6"/>
  <c r="Q623" i="6"/>
  <c r="P623" i="6"/>
  <c r="F623" i="6"/>
  <c r="E623" i="6"/>
  <c r="C623" i="6"/>
  <c r="B623" i="6"/>
  <c r="R622" i="6"/>
  <c r="Q622" i="6"/>
  <c r="P622" i="6"/>
  <c r="F622" i="6"/>
  <c r="E622" i="6"/>
  <c r="C622" i="6"/>
  <c r="B622" i="6"/>
  <c r="R621" i="6"/>
  <c r="Q621" i="6"/>
  <c r="P621" i="6"/>
  <c r="F621" i="6"/>
  <c r="E621" i="6"/>
  <c r="C621" i="6"/>
  <c r="B621" i="6"/>
  <c r="R620" i="6"/>
  <c r="Q620" i="6"/>
  <c r="P620" i="6"/>
  <c r="F620" i="6"/>
  <c r="E620" i="6"/>
  <c r="C620" i="6"/>
  <c r="B620" i="6"/>
  <c r="R619" i="6"/>
  <c r="Q619" i="6"/>
  <c r="P619" i="6"/>
  <c r="F619" i="6"/>
  <c r="E619" i="6"/>
  <c r="C619" i="6"/>
  <c r="B619" i="6"/>
  <c r="R618" i="6"/>
  <c r="Q618" i="6"/>
  <c r="P618" i="6"/>
  <c r="F618" i="6"/>
  <c r="E618" i="6"/>
  <c r="C618" i="6"/>
  <c r="B618" i="6"/>
  <c r="R617" i="6"/>
  <c r="Q617" i="6"/>
  <c r="P617" i="6"/>
  <c r="F617" i="6"/>
  <c r="E617" i="6"/>
  <c r="C617" i="6"/>
  <c r="B617" i="6"/>
  <c r="R616" i="6"/>
  <c r="Q616" i="6"/>
  <c r="P616" i="6"/>
  <c r="F616" i="6"/>
  <c r="E616" i="6"/>
  <c r="C616" i="6"/>
  <c r="B616" i="6"/>
  <c r="R615" i="6"/>
  <c r="Q615" i="6"/>
  <c r="P615" i="6"/>
  <c r="F615" i="6"/>
  <c r="E615" i="6"/>
  <c r="C615" i="6"/>
  <c r="B615" i="6"/>
  <c r="R614" i="6"/>
  <c r="Q614" i="6"/>
  <c r="P614" i="6"/>
  <c r="F614" i="6"/>
  <c r="E614" i="6"/>
  <c r="C614" i="6"/>
  <c r="B614" i="6"/>
  <c r="R613" i="6"/>
  <c r="Q613" i="6"/>
  <c r="P613" i="6"/>
  <c r="F613" i="6"/>
  <c r="E613" i="6"/>
  <c r="C613" i="6"/>
  <c r="B613" i="6"/>
  <c r="R612" i="6"/>
  <c r="Q612" i="6"/>
  <c r="P612" i="6"/>
  <c r="F612" i="6"/>
  <c r="E612" i="6"/>
  <c r="C612" i="6"/>
  <c r="B612" i="6"/>
  <c r="R611" i="6"/>
  <c r="Q611" i="6"/>
  <c r="P611" i="6"/>
  <c r="F611" i="6"/>
  <c r="E611" i="6"/>
  <c r="C611" i="6"/>
  <c r="B611" i="6"/>
  <c r="R610" i="6"/>
  <c r="Q610" i="6"/>
  <c r="P610" i="6"/>
  <c r="F610" i="6"/>
  <c r="E610" i="6"/>
  <c r="C610" i="6"/>
  <c r="B610" i="6"/>
  <c r="R609" i="6"/>
  <c r="Q609" i="6"/>
  <c r="P609" i="6"/>
  <c r="F609" i="6"/>
  <c r="E609" i="6"/>
  <c r="C609" i="6"/>
  <c r="B609" i="6"/>
  <c r="R608" i="6"/>
  <c r="Q608" i="6"/>
  <c r="P608" i="6"/>
  <c r="F608" i="6"/>
  <c r="E608" i="6"/>
  <c r="C608" i="6"/>
  <c r="B608" i="6"/>
  <c r="R607" i="6"/>
  <c r="Q607" i="6"/>
  <c r="P607" i="6"/>
  <c r="F607" i="6"/>
  <c r="E607" i="6"/>
  <c r="C607" i="6"/>
  <c r="B607" i="6"/>
  <c r="R606" i="6"/>
  <c r="Q606" i="6"/>
  <c r="P606" i="6"/>
  <c r="F606" i="6"/>
  <c r="E606" i="6"/>
  <c r="C606" i="6"/>
  <c r="B606" i="6"/>
  <c r="R605" i="6"/>
  <c r="Q605" i="6"/>
  <c r="P605" i="6"/>
  <c r="F605" i="6"/>
  <c r="E605" i="6"/>
  <c r="C605" i="6"/>
  <c r="B605" i="6"/>
  <c r="R604" i="6"/>
  <c r="Q604" i="6"/>
  <c r="P604" i="6"/>
  <c r="F604" i="6"/>
  <c r="E604" i="6"/>
  <c r="C604" i="6"/>
  <c r="B604" i="6"/>
  <c r="R603" i="6"/>
  <c r="Q603" i="6"/>
  <c r="P603" i="6"/>
  <c r="F603" i="6"/>
  <c r="E603" i="6"/>
  <c r="C603" i="6"/>
  <c r="B603" i="6"/>
  <c r="R602" i="6"/>
  <c r="Q602" i="6"/>
  <c r="P602" i="6"/>
  <c r="F602" i="6"/>
  <c r="E602" i="6"/>
  <c r="C602" i="6"/>
  <c r="B602" i="6"/>
  <c r="R601" i="6"/>
  <c r="Q601" i="6"/>
  <c r="P601" i="6"/>
  <c r="F601" i="6"/>
  <c r="E601" i="6"/>
  <c r="C601" i="6"/>
  <c r="B601" i="6"/>
  <c r="R600" i="6"/>
  <c r="Q600" i="6"/>
  <c r="P600" i="6"/>
  <c r="F600" i="6"/>
  <c r="E600" i="6"/>
  <c r="C600" i="6"/>
  <c r="B600" i="6"/>
  <c r="R599" i="6"/>
  <c r="Q599" i="6"/>
  <c r="P599" i="6"/>
  <c r="F599" i="6"/>
  <c r="E599" i="6"/>
  <c r="C599" i="6"/>
  <c r="B599" i="6"/>
  <c r="R598" i="6"/>
  <c r="Q598" i="6"/>
  <c r="P598" i="6"/>
  <c r="F598" i="6"/>
  <c r="E598" i="6"/>
  <c r="C598" i="6"/>
  <c r="B598" i="6"/>
  <c r="R597" i="6"/>
  <c r="Q597" i="6"/>
  <c r="P597" i="6"/>
  <c r="F597" i="6"/>
  <c r="E597" i="6"/>
  <c r="C597" i="6"/>
  <c r="B597" i="6"/>
  <c r="R596" i="6"/>
  <c r="Q596" i="6"/>
  <c r="P596" i="6"/>
  <c r="F596" i="6"/>
  <c r="E596" i="6"/>
  <c r="C596" i="6"/>
  <c r="B596" i="6"/>
  <c r="R595" i="6"/>
  <c r="Q595" i="6"/>
  <c r="P595" i="6"/>
  <c r="F595" i="6"/>
  <c r="E595" i="6"/>
  <c r="C595" i="6"/>
  <c r="B595" i="6"/>
  <c r="R594" i="6"/>
  <c r="Q594" i="6"/>
  <c r="P594" i="6"/>
  <c r="F594" i="6"/>
  <c r="E594" i="6"/>
  <c r="C594" i="6"/>
  <c r="B594" i="6"/>
  <c r="R593" i="6"/>
  <c r="Q593" i="6"/>
  <c r="P593" i="6"/>
  <c r="F593" i="6"/>
  <c r="E593" i="6"/>
  <c r="C593" i="6"/>
  <c r="B593" i="6"/>
  <c r="R592" i="6"/>
  <c r="Q592" i="6"/>
  <c r="P592" i="6"/>
  <c r="F592" i="6"/>
  <c r="E592" i="6"/>
  <c r="C592" i="6"/>
  <c r="B592" i="6"/>
  <c r="R591" i="6"/>
  <c r="Q591" i="6"/>
  <c r="P591" i="6"/>
  <c r="F591" i="6"/>
  <c r="E591" i="6"/>
  <c r="C591" i="6"/>
  <c r="B591" i="6"/>
  <c r="R590" i="6"/>
  <c r="Q590" i="6"/>
  <c r="P590" i="6"/>
  <c r="F590" i="6"/>
  <c r="E590" i="6"/>
  <c r="C590" i="6"/>
  <c r="B590" i="6"/>
  <c r="R589" i="6"/>
  <c r="Q589" i="6"/>
  <c r="P589" i="6"/>
  <c r="F589" i="6"/>
  <c r="E589" i="6"/>
  <c r="C589" i="6"/>
  <c r="B589" i="6"/>
  <c r="R588" i="6"/>
  <c r="Q588" i="6"/>
  <c r="P588" i="6"/>
  <c r="F588" i="6"/>
  <c r="E588" i="6"/>
  <c r="C588" i="6"/>
  <c r="B588" i="6"/>
  <c r="R587" i="6"/>
  <c r="Q587" i="6"/>
  <c r="P587" i="6"/>
  <c r="F587" i="6"/>
  <c r="E587" i="6"/>
  <c r="C587" i="6"/>
  <c r="B587" i="6"/>
  <c r="R586" i="6"/>
  <c r="Q586" i="6"/>
  <c r="P586" i="6"/>
  <c r="F586" i="6"/>
  <c r="E586" i="6"/>
  <c r="C586" i="6"/>
  <c r="B586" i="6"/>
  <c r="R585" i="6"/>
  <c r="Q585" i="6"/>
  <c r="P585" i="6"/>
  <c r="F585" i="6"/>
  <c r="E585" i="6"/>
  <c r="C585" i="6"/>
  <c r="B585" i="6"/>
  <c r="R584" i="6"/>
  <c r="Q584" i="6"/>
  <c r="P584" i="6"/>
  <c r="F584" i="6"/>
  <c r="E584" i="6"/>
  <c r="C584" i="6"/>
  <c r="B584" i="6"/>
  <c r="R583" i="6"/>
  <c r="Q583" i="6"/>
  <c r="P583" i="6"/>
  <c r="F583" i="6"/>
  <c r="E583" i="6"/>
  <c r="C583" i="6"/>
  <c r="B583" i="6"/>
  <c r="R582" i="6"/>
  <c r="Q582" i="6"/>
  <c r="P582" i="6"/>
  <c r="F582" i="6"/>
  <c r="E582" i="6"/>
  <c r="C582" i="6"/>
  <c r="B582" i="6"/>
  <c r="R581" i="6"/>
  <c r="Q581" i="6"/>
  <c r="P581" i="6"/>
  <c r="F581" i="6"/>
  <c r="E581" i="6"/>
  <c r="C581" i="6"/>
  <c r="B581" i="6"/>
  <c r="R580" i="6"/>
  <c r="Q580" i="6"/>
  <c r="P580" i="6"/>
  <c r="F580" i="6"/>
  <c r="E580" i="6"/>
  <c r="C580" i="6"/>
  <c r="B580" i="6"/>
  <c r="R579" i="6"/>
  <c r="Q579" i="6"/>
  <c r="P579" i="6"/>
  <c r="F579" i="6"/>
  <c r="E579" i="6"/>
  <c r="C579" i="6"/>
  <c r="B579" i="6"/>
  <c r="R578" i="6"/>
  <c r="Q578" i="6"/>
  <c r="P578" i="6"/>
  <c r="F578" i="6"/>
  <c r="E578" i="6"/>
  <c r="C578" i="6"/>
  <c r="B578" i="6"/>
  <c r="R577" i="6"/>
  <c r="Q577" i="6"/>
  <c r="P577" i="6"/>
  <c r="F577" i="6"/>
  <c r="E577" i="6"/>
  <c r="C577" i="6"/>
  <c r="B577" i="6"/>
  <c r="R576" i="6"/>
  <c r="Q576" i="6"/>
  <c r="P576" i="6"/>
  <c r="F576" i="6"/>
  <c r="E576" i="6"/>
  <c r="C576" i="6"/>
  <c r="B576" i="6"/>
  <c r="R575" i="6"/>
  <c r="Q575" i="6"/>
  <c r="P575" i="6"/>
  <c r="F575" i="6"/>
  <c r="E575" i="6"/>
  <c r="C575" i="6"/>
  <c r="B575" i="6"/>
  <c r="R574" i="6"/>
  <c r="Q574" i="6"/>
  <c r="P574" i="6"/>
  <c r="F574" i="6"/>
  <c r="E574" i="6"/>
  <c r="C574" i="6"/>
  <c r="B574" i="6"/>
  <c r="R573" i="6"/>
  <c r="Q573" i="6"/>
  <c r="P573" i="6"/>
  <c r="F573" i="6"/>
  <c r="E573" i="6"/>
  <c r="C573" i="6"/>
  <c r="B573" i="6"/>
  <c r="R572" i="6"/>
  <c r="Q572" i="6"/>
  <c r="P572" i="6"/>
  <c r="F572" i="6"/>
  <c r="E572" i="6"/>
  <c r="C572" i="6"/>
  <c r="B572" i="6"/>
  <c r="R571" i="6"/>
  <c r="Q571" i="6"/>
  <c r="P571" i="6"/>
  <c r="F571" i="6"/>
  <c r="E571" i="6"/>
  <c r="C571" i="6"/>
  <c r="B571" i="6"/>
  <c r="R570" i="6"/>
  <c r="Q570" i="6"/>
  <c r="P570" i="6"/>
  <c r="F570" i="6"/>
  <c r="E570" i="6"/>
  <c r="C570" i="6"/>
  <c r="B570" i="6"/>
  <c r="R569" i="6"/>
  <c r="Q569" i="6"/>
  <c r="P569" i="6"/>
  <c r="F569" i="6"/>
  <c r="E569" i="6"/>
  <c r="C569" i="6"/>
  <c r="B569" i="6"/>
  <c r="R568" i="6"/>
  <c r="Q568" i="6"/>
  <c r="P568" i="6"/>
  <c r="F568" i="6"/>
  <c r="E568" i="6"/>
  <c r="C568" i="6"/>
  <c r="B568" i="6"/>
  <c r="R567" i="6"/>
  <c r="Q567" i="6"/>
  <c r="P567" i="6"/>
  <c r="F567" i="6"/>
  <c r="E567" i="6"/>
  <c r="C567" i="6"/>
  <c r="B567" i="6"/>
  <c r="R566" i="6"/>
  <c r="Q566" i="6"/>
  <c r="P566" i="6"/>
  <c r="F566" i="6"/>
  <c r="E566" i="6"/>
  <c r="C566" i="6"/>
  <c r="B566" i="6"/>
  <c r="R565" i="6"/>
  <c r="Q565" i="6"/>
  <c r="P565" i="6"/>
  <c r="F565" i="6"/>
  <c r="E565" i="6"/>
  <c r="C565" i="6"/>
  <c r="B565" i="6"/>
  <c r="R564" i="6"/>
  <c r="Q564" i="6"/>
  <c r="P564" i="6"/>
  <c r="F564" i="6"/>
  <c r="E564" i="6"/>
  <c r="C564" i="6"/>
  <c r="B564" i="6"/>
  <c r="R563" i="6"/>
  <c r="Q563" i="6"/>
  <c r="P563" i="6"/>
  <c r="F563" i="6"/>
  <c r="E563" i="6"/>
  <c r="C563" i="6"/>
  <c r="B563" i="6"/>
  <c r="R562" i="6"/>
  <c r="Q562" i="6"/>
  <c r="P562" i="6"/>
  <c r="F562" i="6"/>
  <c r="E562" i="6"/>
  <c r="C562" i="6"/>
  <c r="B562" i="6"/>
  <c r="R561" i="6"/>
  <c r="Q561" i="6"/>
  <c r="P561" i="6"/>
  <c r="F561" i="6"/>
  <c r="E561" i="6"/>
  <c r="C561" i="6"/>
  <c r="B561" i="6"/>
  <c r="R560" i="6"/>
  <c r="Q560" i="6"/>
  <c r="P560" i="6"/>
  <c r="F560" i="6"/>
  <c r="E560" i="6"/>
  <c r="C560" i="6"/>
  <c r="B560" i="6"/>
  <c r="R559" i="6"/>
  <c r="Q559" i="6"/>
  <c r="P559" i="6"/>
  <c r="F559" i="6"/>
  <c r="E559" i="6"/>
  <c r="C559" i="6"/>
  <c r="B559" i="6"/>
  <c r="R558" i="6"/>
  <c r="Q558" i="6"/>
  <c r="P558" i="6"/>
  <c r="F558" i="6"/>
  <c r="E558" i="6"/>
  <c r="C558" i="6"/>
  <c r="B558" i="6"/>
  <c r="R557" i="6"/>
  <c r="Q557" i="6"/>
  <c r="P557" i="6"/>
  <c r="F557" i="6"/>
  <c r="E557" i="6"/>
  <c r="C557" i="6"/>
  <c r="B557" i="6"/>
  <c r="R556" i="6"/>
  <c r="Q556" i="6"/>
  <c r="P556" i="6"/>
  <c r="F556" i="6"/>
  <c r="E556" i="6"/>
  <c r="C556" i="6"/>
  <c r="B556" i="6"/>
  <c r="R555" i="6"/>
  <c r="Q555" i="6"/>
  <c r="P555" i="6"/>
  <c r="F555" i="6"/>
  <c r="E555" i="6"/>
  <c r="C555" i="6"/>
  <c r="B555" i="6"/>
  <c r="R554" i="6"/>
  <c r="Q554" i="6"/>
  <c r="P554" i="6"/>
  <c r="F554" i="6"/>
  <c r="E554" i="6"/>
  <c r="C554" i="6"/>
  <c r="B554" i="6"/>
  <c r="R553" i="6"/>
  <c r="Q553" i="6"/>
  <c r="P553" i="6"/>
  <c r="F553" i="6"/>
  <c r="E553" i="6"/>
  <c r="C553" i="6"/>
  <c r="B553" i="6"/>
  <c r="R552" i="6"/>
  <c r="Q552" i="6"/>
  <c r="P552" i="6"/>
  <c r="F552" i="6"/>
  <c r="E552" i="6"/>
  <c r="C552" i="6"/>
  <c r="B552" i="6"/>
  <c r="R551" i="6"/>
  <c r="Q551" i="6"/>
  <c r="P551" i="6"/>
  <c r="F551" i="6"/>
  <c r="E551" i="6"/>
  <c r="C551" i="6"/>
  <c r="B551" i="6"/>
  <c r="R550" i="6"/>
  <c r="Q550" i="6"/>
  <c r="P550" i="6"/>
  <c r="F550" i="6"/>
  <c r="E550" i="6"/>
  <c r="C550" i="6"/>
  <c r="B550" i="6"/>
  <c r="R549" i="6"/>
  <c r="Q549" i="6"/>
  <c r="P549" i="6"/>
  <c r="F549" i="6"/>
  <c r="E549" i="6"/>
  <c r="C549" i="6"/>
  <c r="B549" i="6"/>
  <c r="R548" i="6"/>
  <c r="Q548" i="6"/>
  <c r="P548" i="6"/>
  <c r="F548" i="6"/>
  <c r="E548" i="6"/>
  <c r="C548" i="6"/>
  <c r="B548" i="6"/>
  <c r="R547" i="6"/>
  <c r="Q547" i="6"/>
  <c r="P547" i="6"/>
  <c r="F547" i="6"/>
  <c r="E547" i="6"/>
  <c r="C547" i="6"/>
  <c r="B547" i="6"/>
  <c r="R546" i="6"/>
  <c r="Q546" i="6"/>
  <c r="P546" i="6"/>
  <c r="F546" i="6"/>
  <c r="E546" i="6"/>
  <c r="C546" i="6"/>
  <c r="B546" i="6"/>
  <c r="R545" i="6"/>
  <c r="Q545" i="6"/>
  <c r="P545" i="6"/>
  <c r="F545" i="6"/>
  <c r="E545" i="6"/>
  <c r="C545" i="6"/>
  <c r="B545" i="6"/>
  <c r="R544" i="6"/>
  <c r="Q544" i="6"/>
  <c r="P544" i="6"/>
  <c r="F544" i="6"/>
  <c r="E544" i="6"/>
  <c r="C544" i="6"/>
  <c r="B544" i="6"/>
  <c r="R543" i="6"/>
  <c r="Q543" i="6"/>
  <c r="P543" i="6"/>
  <c r="F543" i="6"/>
  <c r="E543" i="6"/>
  <c r="C543" i="6"/>
  <c r="B543" i="6"/>
  <c r="R542" i="6"/>
  <c r="Q542" i="6"/>
  <c r="P542" i="6"/>
  <c r="F542" i="6"/>
  <c r="E542" i="6"/>
  <c r="C542" i="6"/>
  <c r="B542" i="6"/>
  <c r="R541" i="6"/>
  <c r="Q541" i="6"/>
  <c r="P541" i="6"/>
  <c r="F541" i="6"/>
  <c r="E541" i="6"/>
  <c r="C541" i="6"/>
  <c r="B541" i="6"/>
  <c r="R540" i="6"/>
  <c r="Q540" i="6"/>
  <c r="P540" i="6"/>
  <c r="F540" i="6"/>
  <c r="E540" i="6"/>
  <c r="C540" i="6"/>
  <c r="B540" i="6"/>
  <c r="R539" i="6"/>
  <c r="Q539" i="6"/>
  <c r="P539" i="6"/>
  <c r="F539" i="6"/>
  <c r="E539" i="6"/>
  <c r="C539" i="6"/>
  <c r="B539" i="6"/>
  <c r="R538" i="6"/>
  <c r="Q538" i="6"/>
  <c r="P538" i="6"/>
  <c r="F538" i="6"/>
  <c r="E538" i="6"/>
  <c r="C538" i="6"/>
  <c r="B538" i="6"/>
  <c r="R537" i="6"/>
  <c r="Q537" i="6"/>
  <c r="P537" i="6"/>
  <c r="F537" i="6"/>
  <c r="E537" i="6"/>
  <c r="C537" i="6"/>
  <c r="B537" i="6"/>
  <c r="R536" i="6"/>
  <c r="Q536" i="6"/>
  <c r="P536" i="6"/>
  <c r="F536" i="6"/>
  <c r="E536" i="6"/>
  <c r="C536" i="6"/>
  <c r="B536" i="6"/>
  <c r="R535" i="6"/>
  <c r="Q535" i="6"/>
  <c r="P535" i="6"/>
  <c r="F535" i="6"/>
  <c r="E535" i="6"/>
  <c r="C535" i="6"/>
  <c r="B535" i="6"/>
  <c r="R534" i="6"/>
  <c r="Q534" i="6"/>
  <c r="P534" i="6"/>
  <c r="F534" i="6"/>
  <c r="E534" i="6"/>
  <c r="C534" i="6"/>
  <c r="B534" i="6"/>
  <c r="R533" i="6"/>
  <c r="Q533" i="6"/>
  <c r="P533" i="6"/>
  <c r="F533" i="6"/>
  <c r="E533" i="6"/>
  <c r="C533" i="6"/>
  <c r="B533" i="6"/>
  <c r="R532" i="6"/>
  <c r="Q532" i="6"/>
  <c r="P532" i="6"/>
  <c r="F532" i="6"/>
  <c r="E532" i="6"/>
  <c r="C532" i="6"/>
  <c r="B532" i="6"/>
  <c r="R531" i="6"/>
  <c r="Q531" i="6"/>
  <c r="P531" i="6"/>
  <c r="F531" i="6"/>
  <c r="E531" i="6"/>
  <c r="C531" i="6"/>
  <c r="B531" i="6"/>
  <c r="R530" i="6"/>
  <c r="Q530" i="6"/>
  <c r="P530" i="6"/>
  <c r="F530" i="6"/>
  <c r="E530" i="6"/>
  <c r="C530" i="6"/>
  <c r="B530" i="6"/>
  <c r="R529" i="6"/>
  <c r="Q529" i="6"/>
  <c r="P529" i="6"/>
  <c r="F529" i="6"/>
  <c r="E529" i="6"/>
  <c r="C529" i="6"/>
  <c r="B529" i="6"/>
  <c r="R528" i="6"/>
  <c r="Q528" i="6"/>
  <c r="P528" i="6"/>
  <c r="F528" i="6"/>
  <c r="E528" i="6"/>
  <c r="C528" i="6"/>
  <c r="B528" i="6"/>
  <c r="R527" i="6"/>
  <c r="Q527" i="6"/>
  <c r="P527" i="6"/>
  <c r="F527" i="6"/>
  <c r="E527" i="6"/>
  <c r="C527" i="6"/>
  <c r="B527" i="6"/>
  <c r="R526" i="6"/>
  <c r="Q526" i="6"/>
  <c r="P526" i="6"/>
  <c r="F526" i="6"/>
  <c r="E526" i="6"/>
  <c r="C526" i="6"/>
  <c r="B526" i="6"/>
  <c r="R525" i="6"/>
  <c r="Q525" i="6"/>
  <c r="P525" i="6"/>
  <c r="F525" i="6"/>
  <c r="E525" i="6"/>
  <c r="C525" i="6"/>
  <c r="B525" i="6"/>
  <c r="R524" i="6"/>
  <c r="Q524" i="6"/>
  <c r="P524" i="6"/>
  <c r="F524" i="6"/>
  <c r="E524" i="6"/>
  <c r="C524" i="6"/>
  <c r="B524" i="6"/>
  <c r="R523" i="6"/>
  <c r="Q523" i="6"/>
  <c r="P523" i="6"/>
  <c r="F523" i="6"/>
  <c r="E523" i="6"/>
  <c r="C523" i="6"/>
  <c r="B523" i="6"/>
  <c r="R522" i="6"/>
  <c r="Q522" i="6"/>
  <c r="P522" i="6"/>
  <c r="F522" i="6"/>
  <c r="E522" i="6"/>
  <c r="C522" i="6"/>
  <c r="B522" i="6"/>
  <c r="R521" i="6"/>
  <c r="Q521" i="6"/>
  <c r="P521" i="6"/>
  <c r="F521" i="6"/>
  <c r="E521" i="6"/>
  <c r="C521" i="6"/>
  <c r="B521" i="6"/>
  <c r="R520" i="6"/>
  <c r="Q520" i="6"/>
  <c r="P520" i="6"/>
  <c r="F520" i="6"/>
  <c r="E520" i="6"/>
  <c r="C520" i="6"/>
  <c r="B520" i="6"/>
  <c r="R519" i="6"/>
  <c r="Q519" i="6"/>
  <c r="P519" i="6"/>
  <c r="F519" i="6"/>
  <c r="E519" i="6"/>
  <c r="C519" i="6"/>
  <c r="B519" i="6"/>
  <c r="R518" i="6"/>
  <c r="Q518" i="6"/>
  <c r="P518" i="6"/>
  <c r="F518" i="6"/>
  <c r="E518" i="6"/>
  <c r="C518" i="6"/>
  <c r="B518" i="6"/>
  <c r="R517" i="6"/>
  <c r="Q517" i="6"/>
  <c r="P517" i="6"/>
  <c r="F517" i="6"/>
  <c r="E517" i="6"/>
  <c r="C517" i="6"/>
  <c r="B517" i="6"/>
  <c r="R516" i="6"/>
  <c r="Q516" i="6"/>
  <c r="P516" i="6"/>
  <c r="F516" i="6"/>
  <c r="E516" i="6"/>
  <c r="C516" i="6"/>
  <c r="B516" i="6"/>
  <c r="R515" i="6"/>
  <c r="Q515" i="6"/>
  <c r="P515" i="6"/>
  <c r="F515" i="6"/>
  <c r="E515" i="6"/>
  <c r="C515" i="6"/>
  <c r="B515" i="6"/>
  <c r="R514" i="6"/>
  <c r="Q514" i="6"/>
  <c r="P514" i="6"/>
  <c r="F514" i="6"/>
  <c r="E514" i="6"/>
  <c r="C514" i="6"/>
  <c r="B514" i="6"/>
  <c r="R513" i="6"/>
  <c r="Q513" i="6"/>
  <c r="P513" i="6"/>
  <c r="F513" i="6"/>
  <c r="E513" i="6"/>
  <c r="C513" i="6"/>
  <c r="B513" i="6"/>
  <c r="R512" i="6"/>
  <c r="Q512" i="6"/>
  <c r="P512" i="6"/>
  <c r="F512" i="6"/>
  <c r="E512" i="6"/>
  <c r="C512" i="6"/>
  <c r="B512" i="6"/>
  <c r="R511" i="6"/>
  <c r="Q511" i="6"/>
  <c r="P511" i="6"/>
  <c r="F511" i="6"/>
  <c r="E511" i="6"/>
  <c r="C511" i="6"/>
  <c r="B511" i="6"/>
  <c r="R510" i="6"/>
  <c r="Q510" i="6"/>
  <c r="P510" i="6"/>
  <c r="F510" i="6"/>
  <c r="E510" i="6"/>
  <c r="C510" i="6"/>
  <c r="B510" i="6"/>
  <c r="R509" i="6"/>
  <c r="Q509" i="6"/>
  <c r="P509" i="6"/>
  <c r="F509" i="6"/>
  <c r="E509" i="6"/>
  <c r="C509" i="6"/>
  <c r="B509" i="6"/>
  <c r="R508" i="6"/>
  <c r="Q508" i="6"/>
  <c r="P508" i="6"/>
  <c r="F508" i="6"/>
  <c r="E508" i="6"/>
  <c r="C508" i="6"/>
  <c r="B508" i="6"/>
  <c r="R507" i="6"/>
  <c r="Q507" i="6"/>
  <c r="P507" i="6"/>
  <c r="F507" i="6"/>
  <c r="E507" i="6"/>
  <c r="C507" i="6"/>
  <c r="B507" i="6"/>
  <c r="R506" i="6"/>
  <c r="Q506" i="6"/>
  <c r="P506" i="6"/>
  <c r="F506" i="6"/>
  <c r="E506" i="6"/>
  <c r="C506" i="6"/>
  <c r="B506" i="6"/>
  <c r="R505" i="6"/>
  <c r="Q505" i="6"/>
  <c r="P505" i="6"/>
  <c r="F505" i="6"/>
  <c r="E505" i="6"/>
  <c r="C505" i="6"/>
  <c r="B505" i="6"/>
  <c r="R504" i="6"/>
  <c r="Q504" i="6"/>
  <c r="P504" i="6"/>
  <c r="F504" i="6"/>
  <c r="E504" i="6"/>
  <c r="C504" i="6"/>
  <c r="B504" i="6"/>
  <c r="R503" i="6"/>
  <c r="Q503" i="6"/>
  <c r="P503" i="6"/>
  <c r="F503" i="6"/>
  <c r="E503" i="6"/>
  <c r="C503" i="6"/>
  <c r="B503" i="6"/>
  <c r="R502" i="6"/>
  <c r="Q502" i="6"/>
  <c r="P502" i="6"/>
  <c r="F502" i="6"/>
  <c r="E502" i="6"/>
  <c r="C502" i="6"/>
  <c r="B502" i="6"/>
  <c r="R501" i="6"/>
  <c r="Q501" i="6"/>
  <c r="P501" i="6"/>
  <c r="F501" i="6"/>
  <c r="E501" i="6"/>
  <c r="C501" i="6"/>
  <c r="B501" i="6"/>
  <c r="R500" i="6"/>
  <c r="Q500" i="6"/>
  <c r="P500" i="6"/>
  <c r="F500" i="6"/>
  <c r="E500" i="6"/>
  <c r="C500" i="6"/>
  <c r="B500" i="6"/>
  <c r="R499" i="6"/>
  <c r="Q499" i="6"/>
  <c r="P499" i="6"/>
  <c r="F499" i="6"/>
  <c r="E499" i="6"/>
  <c r="C499" i="6"/>
  <c r="B499" i="6"/>
  <c r="R498" i="6"/>
  <c r="Q498" i="6"/>
  <c r="P498" i="6"/>
  <c r="F498" i="6"/>
  <c r="E498" i="6"/>
  <c r="C498" i="6"/>
  <c r="B498" i="6"/>
  <c r="R497" i="6"/>
  <c r="Q497" i="6"/>
  <c r="P497" i="6"/>
  <c r="F497" i="6"/>
  <c r="E497" i="6"/>
  <c r="C497" i="6"/>
  <c r="B497" i="6"/>
  <c r="R496" i="6"/>
  <c r="Q496" i="6"/>
  <c r="P496" i="6"/>
  <c r="F496" i="6"/>
  <c r="E496" i="6"/>
  <c r="C496" i="6"/>
  <c r="B496" i="6"/>
  <c r="R495" i="6"/>
  <c r="Q495" i="6"/>
  <c r="P495" i="6"/>
  <c r="F495" i="6"/>
  <c r="E495" i="6"/>
  <c r="C495" i="6"/>
  <c r="B495" i="6"/>
  <c r="R494" i="6"/>
  <c r="Q494" i="6"/>
  <c r="P494" i="6"/>
  <c r="F494" i="6"/>
  <c r="E494" i="6"/>
  <c r="C494" i="6"/>
  <c r="B494" i="6"/>
  <c r="R493" i="6"/>
  <c r="Q493" i="6"/>
  <c r="P493" i="6"/>
  <c r="F493" i="6"/>
  <c r="E493" i="6"/>
  <c r="C493" i="6"/>
  <c r="B493" i="6"/>
  <c r="R492" i="6"/>
  <c r="Q492" i="6"/>
  <c r="P492" i="6"/>
  <c r="F492" i="6"/>
  <c r="E492" i="6"/>
  <c r="C492" i="6"/>
  <c r="B492" i="6"/>
  <c r="R491" i="6"/>
  <c r="Q491" i="6"/>
  <c r="P491" i="6"/>
  <c r="F491" i="6"/>
  <c r="E491" i="6"/>
  <c r="C491" i="6"/>
  <c r="B491" i="6"/>
  <c r="R490" i="6"/>
  <c r="Q490" i="6"/>
  <c r="P490" i="6"/>
  <c r="F490" i="6"/>
  <c r="E490" i="6"/>
  <c r="C490" i="6"/>
  <c r="B490" i="6"/>
  <c r="R489" i="6"/>
  <c r="Q489" i="6"/>
  <c r="P489" i="6"/>
  <c r="F489" i="6"/>
  <c r="E489" i="6"/>
  <c r="C489" i="6"/>
  <c r="B489" i="6"/>
  <c r="R488" i="6"/>
  <c r="Q488" i="6"/>
  <c r="P488" i="6"/>
  <c r="F488" i="6"/>
  <c r="E488" i="6"/>
  <c r="C488" i="6"/>
  <c r="B488" i="6"/>
  <c r="R487" i="6"/>
  <c r="Q487" i="6"/>
  <c r="P487" i="6"/>
  <c r="F487" i="6"/>
  <c r="E487" i="6"/>
  <c r="C487" i="6"/>
  <c r="B487" i="6"/>
  <c r="R486" i="6"/>
  <c r="Q486" i="6"/>
  <c r="P486" i="6"/>
  <c r="F486" i="6"/>
  <c r="E486" i="6"/>
  <c r="C486" i="6"/>
  <c r="B486" i="6"/>
  <c r="R485" i="6"/>
  <c r="Q485" i="6"/>
  <c r="P485" i="6"/>
  <c r="F485" i="6"/>
  <c r="E485" i="6"/>
  <c r="C485" i="6"/>
  <c r="B485" i="6"/>
  <c r="R484" i="6"/>
  <c r="Q484" i="6"/>
  <c r="P484" i="6"/>
  <c r="F484" i="6"/>
  <c r="E484" i="6"/>
  <c r="C484" i="6"/>
  <c r="B484" i="6"/>
  <c r="R483" i="6"/>
  <c r="Q483" i="6"/>
  <c r="P483" i="6"/>
  <c r="F483" i="6"/>
  <c r="E483" i="6"/>
  <c r="C483" i="6"/>
  <c r="B483" i="6"/>
  <c r="R482" i="6"/>
  <c r="Q482" i="6"/>
  <c r="P482" i="6"/>
  <c r="F482" i="6"/>
  <c r="E482" i="6"/>
  <c r="C482" i="6"/>
  <c r="B482" i="6"/>
  <c r="R481" i="6"/>
  <c r="Q481" i="6"/>
  <c r="P481" i="6"/>
  <c r="F481" i="6"/>
  <c r="E481" i="6"/>
  <c r="C481" i="6"/>
  <c r="B481" i="6"/>
  <c r="R480" i="6"/>
  <c r="Q480" i="6"/>
  <c r="P480" i="6"/>
  <c r="F480" i="6"/>
  <c r="E480" i="6"/>
  <c r="C480" i="6"/>
  <c r="B480" i="6"/>
  <c r="R479" i="6"/>
  <c r="Q479" i="6"/>
  <c r="P479" i="6"/>
  <c r="F479" i="6"/>
  <c r="E479" i="6"/>
  <c r="C479" i="6"/>
  <c r="B479" i="6"/>
  <c r="R478" i="6"/>
  <c r="Q478" i="6"/>
  <c r="P478" i="6"/>
  <c r="F478" i="6"/>
  <c r="E478" i="6"/>
  <c r="C478" i="6"/>
  <c r="B478" i="6"/>
  <c r="R477" i="6"/>
  <c r="Q477" i="6"/>
  <c r="P477" i="6"/>
  <c r="F477" i="6"/>
  <c r="E477" i="6"/>
  <c r="C477" i="6"/>
  <c r="B477" i="6"/>
  <c r="R476" i="6"/>
  <c r="Q476" i="6"/>
  <c r="P476" i="6"/>
  <c r="F476" i="6"/>
  <c r="E476" i="6"/>
  <c r="C476" i="6"/>
  <c r="B476" i="6"/>
  <c r="R475" i="6"/>
  <c r="Q475" i="6"/>
  <c r="P475" i="6"/>
  <c r="F475" i="6"/>
  <c r="E475" i="6"/>
  <c r="C475" i="6"/>
  <c r="B475" i="6"/>
  <c r="R474" i="6"/>
  <c r="Q474" i="6"/>
  <c r="P474" i="6"/>
  <c r="F474" i="6"/>
  <c r="E474" i="6"/>
  <c r="C474" i="6"/>
  <c r="B474" i="6"/>
  <c r="R473" i="6"/>
  <c r="Q473" i="6"/>
  <c r="P473" i="6"/>
  <c r="F473" i="6"/>
  <c r="E473" i="6"/>
  <c r="C473" i="6"/>
  <c r="B473" i="6"/>
  <c r="R472" i="6"/>
  <c r="Q472" i="6"/>
  <c r="P472" i="6"/>
  <c r="F472" i="6"/>
  <c r="E472" i="6"/>
  <c r="C472" i="6"/>
  <c r="B472" i="6"/>
  <c r="R471" i="6"/>
  <c r="Q471" i="6"/>
  <c r="P471" i="6"/>
  <c r="F471" i="6"/>
  <c r="E471" i="6"/>
  <c r="C471" i="6"/>
  <c r="B471" i="6"/>
  <c r="R470" i="6"/>
  <c r="Q470" i="6"/>
  <c r="P470" i="6"/>
  <c r="F470" i="6"/>
  <c r="E470" i="6"/>
  <c r="C470" i="6"/>
  <c r="B470" i="6"/>
  <c r="R469" i="6"/>
  <c r="Q469" i="6"/>
  <c r="P469" i="6"/>
  <c r="F469" i="6"/>
  <c r="E469" i="6"/>
  <c r="C469" i="6"/>
  <c r="B469" i="6"/>
  <c r="R468" i="6"/>
  <c r="Q468" i="6"/>
  <c r="P468" i="6"/>
  <c r="F468" i="6"/>
  <c r="E468" i="6"/>
  <c r="C468" i="6"/>
  <c r="B468" i="6"/>
  <c r="R467" i="6"/>
  <c r="Q467" i="6"/>
  <c r="P467" i="6"/>
  <c r="F467" i="6"/>
  <c r="E467" i="6"/>
  <c r="C467" i="6"/>
  <c r="B467" i="6"/>
  <c r="R466" i="6"/>
  <c r="Q466" i="6"/>
  <c r="P466" i="6"/>
  <c r="F466" i="6"/>
  <c r="E466" i="6"/>
  <c r="C466" i="6"/>
  <c r="B466" i="6"/>
  <c r="R465" i="6"/>
  <c r="Q465" i="6"/>
  <c r="P465" i="6"/>
  <c r="F465" i="6"/>
  <c r="E465" i="6"/>
  <c r="C465" i="6"/>
  <c r="B465" i="6"/>
  <c r="R464" i="6"/>
  <c r="Q464" i="6"/>
  <c r="P464" i="6"/>
  <c r="F464" i="6"/>
  <c r="E464" i="6"/>
  <c r="C464" i="6"/>
  <c r="B464" i="6"/>
  <c r="R463" i="6"/>
  <c r="Q463" i="6"/>
  <c r="P463" i="6"/>
  <c r="F463" i="6"/>
  <c r="E463" i="6"/>
  <c r="C463" i="6"/>
  <c r="B463" i="6"/>
  <c r="R462" i="6"/>
  <c r="Q462" i="6"/>
  <c r="P462" i="6"/>
  <c r="F462" i="6"/>
  <c r="E462" i="6"/>
  <c r="C462" i="6"/>
  <c r="B462" i="6"/>
  <c r="R461" i="6"/>
  <c r="Q461" i="6"/>
  <c r="P461" i="6"/>
  <c r="F461" i="6"/>
  <c r="E461" i="6"/>
  <c r="C461" i="6"/>
  <c r="B461" i="6"/>
  <c r="R460" i="6"/>
  <c r="Q460" i="6"/>
  <c r="P460" i="6"/>
  <c r="F460" i="6"/>
  <c r="E460" i="6"/>
  <c r="C460" i="6"/>
  <c r="B460" i="6"/>
  <c r="R459" i="6"/>
  <c r="Q459" i="6"/>
  <c r="P459" i="6"/>
  <c r="F459" i="6"/>
  <c r="E459" i="6"/>
  <c r="C459" i="6"/>
  <c r="B459" i="6"/>
  <c r="R458" i="6"/>
  <c r="Q458" i="6"/>
  <c r="P458" i="6"/>
  <c r="F458" i="6"/>
  <c r="E458" i="6"/>
  <c r="C458" i="6"/>
  <c r="B458" i="6"/>
  <c r="R457" i="6"/>
  <c r="Q457" i="6"/>
  <c r="P457" i="6"/>
  <c r="F457" i="6"/>
  <c r="E457" i="6"/>
  <c r="C457" i="6"/>
  <c r="B457" i="6"/>
  <c r="R456" i="6"/>
  <c r="Q456" i="6"/>
  <c r="P456" i="6"/>
  <c r="F456" i="6"/>
  <c r="E456" i="6"/>
  <c r="C456" i="6"/>
  <c r="B456" i="6"/>
  <c r="R455" i="6"/>
  <c r="Q455" i="6"/>
  <c r="P455" i="6"/>
  <c r="F455" i="6"/>
  <c r="E455" i="6"/>
  <c r="C455" i="6"/>
  <c r="B455" i="6"/>
  <c r="R454" i="6"/>
  <c r="Q454" i="6"/>
  <c r="P454" i="6"/>
  <c r="F454" i="6"/>
  <c r="E454" i="6"/>
  <c r="C454" i="6"/>
  <c r="B454" i="6"/>
  <c r="R453" i="6"/>
  <c r="Q453" i="6"/>
  <c r="P453" i="6"/>
  <c r="F453" i="6"/>
  <c r="E453" i="6"/>
  <c r="C453" i="6"/>
  <c r="B453" i="6"/>
  <c r="R452" i="6"/>
  <c r="Q452" i="6"/>
  <c r="P452" i="6"/>
  <c r="F452" i="6"/>
  <c r="E452" i="6"/>
  <c r="C452" i="6"/>
  <c r="B452" i="6"/>
  <c r="R451" i="6"/>
  <c r="Q451" i="6"/>
  <c r="P451" i="6"/>
  <c r="F451" i="6"/>
  <c r="E451" i="6"/>
  <c r="C451" i="6"/>
  <c r="B451" i="6"/>
  <c r="R450" i="6"/>
  <c r="Q450" i="6"/>
  <c r="P450" i="6"/>
  <c r="F450" i="6"/>
  <c r="E450" i="6"/>
  <c r="C450" i="6"/>
  <c r="B450" i="6"/>
  <c r="R449" i="6"/>
  <c r="Q449" i="6"/>
  <c r="P449" i="6"/>
  <c r="F449" i="6"/>
  <c r="E449" i="6"/>
  <c r="C449" i="6"/>
  <c r="B449" i="6"/>
  <c r="R448" i="6"/>
  <c r="Q448" i="6"/>
  <c r="P448" i="6"/>
  <c r="F448" i="6"/>
  <c r="E448" i="6"/>
  <c r="C448" i="6"/>
  <c r="B448" i="6"/>
  <c r="R447" i="6"/>
  <c r="Q447" i="6"/>
  <c r="P447" i="6"/>
  <c r="F447" i="6"/>
  <c r="E447" i="6"/>
  <c r="C447" i="6"/>
  <c r="B447" i="6"/>
  <c r="R446" i="6"/>
  <c r="Q446" i="6"/>
  <c r="P446" i="6"/>
  <c r="F446" i="6"/>
  <c r="E446" i="6"/>
  <c r="C446" i="6"/>
  <c r="B446" i="6"/>
  <c r="R445" i="6"/>
  <c r="Q445" i="6"/>
  <c r="P445" i="6"/>
  <c r="F445" i="6"/>
  <c r="E445" i="6"/>
  <c r="C445" i="6"/>
  <c r="B445" i="6"/>
  <c r="R444" i="6"/>
  <c r="Q444" i="6"/>
  <c r="P444" i="6"/>
  <c r="F444" i="6"/>
  <c r="E444" i="6"/>
  <c r="C444" i="6"/>
  <c r="B444" i="6"/>
  <c r="R443" i="6"/>
  <c r="Q443" i="6"/>
  <c r="P443" i="6"/>
  <c r="F443" i="6"/>
  <c r="E443" i="6"/>
  <c r="C443" i="6"/>
  <c r="B443" i="6"/>
  <c r="R442" i="6"/>
  <c r="Q442" i="6"/>
  <c r="P442" i="6"/>
  <c r="F442" i="6"/>
  <c r="E442" i="6"/>
  <c r="C442" i="6"/>
  <c r="B442" i="6"/>
  <c r="R441" i="6"/>
  <c r="Q441" i="6"/>
  <c r="P441" i="6"/>
  <c r="F441" i="6"/>
  <c r="E441" i="6"/>
  <c r="C441" i="6"/>
  <c r="B441" i="6"/>
  <c r="R440" i="6"/>
  <c r="Q440" i="6"/>
  <c r="P440" i="6"/>
  <c r="F440" i="6"/>
  <c r="E440" i="6"/>
  <c r="C440" i="6"/>
  <c r="B440" i="6"/>
  <c r="R439" i="6"/>
  <c r="Q439" i="6"/>
  <c r="P439" i="6"/>
  <c r="F439" i="6"/>
  <c r="E439" i="6"/>
  <c r="C439" i="6"/>
  <c r="B439" i="6"/>
  <c r="R438" i="6"/>
  <c r="Q438" i="6"/>
  <c r="P438" i="6"/>
  <c r="F438" i="6"/>
  <c r="E438" i="6"/>
  <c r="C438" i="6"/>
  <c r="B438" i="6"/>
  <c r="R437" i="6"/>
  <c r="Q437" i="6"/>
  <c r="P437" i="6"/>
  <c r="F437" i="6"/>
  <c r="E437" i="6"/>
  <c r="C437" i="6"/>
  <c r="B437" i="6"/>
  <c r="R436" i="6"/>
  <c r="Q436" i="6"/>
  <c r="P436" i="6"/>
  <c r="F436" i="6"/>
  <c r="E436" i="6"/>
  <c r="C436" i="6"/>
  <c r="B436" i="6"/>
  <c r="R435" i="6"/>
  <c r="Q435" i="6"/>
  <c r="P435" i="6"/>
  <c r="F435" i="6"/>
  <c r="E435" i="6"/>
  <c r="C435" i="6"/>
  <c r="B435" i="6"/>
  <c r="R434" i="6"/>
  <c r="Q434" i="6"/>
  <c r="P434" i="6"/>
  <c r="F434" i="6"/>
  <c r="E434" i="6"/>
  <c r="C434" i="6"/>
  <c r="B434" i="6"/>
  <c r="R433" i="6"/>
  <c r="Q433" i="6"/>
  <c r="P433" i="6"/>
  <c r="F433" i="6"/>
  <c r="E433" i="6"/>
  <c r="C433" i="6"/>
  <c r="B433" i="6"/>
  <c r="R432" i="6"/>
  <c r="Q432" i="6"/>
  <c r="P432" i="6"/>
  <c r="F432" i="6"/>
  <c r="E432" i="6"/>
  <c r="C432" i="6"/>
  <c r="B432" i="6"/>
  <c r="R431" i="6"/>
  <c r="Q431" i="6"/>
  <c r="P431" i="6"/>
  <c r="F431" i="6"/>
  <c r="E431" i="6"/>
  <c r="C431" i="6"/>
  <c r="B431" i="6"/>
  <c r="R430" i="6"/>
  <c r="Q430" i="6"/>
  <c r="P430" i="6"/>
  <c r="F430" i="6"/>
  <c r="E430" i="6"/>
  <c r="C430" i="6"/>
  <c r="B430" i="6"/>
  <c r="R429" i="6"/>
  <c r="Q429" i="6"/>
  <c r="P429" i="6"/>
  <c r="F429" i="6"/>
  <c r="E429" i="6"/>
  <c r="C429" i="6"/>
  <c r="B429" i="6"/>
  <c r="R428" i="6"/>
  <c r="Q428" i="6"/>
  <c r="P428" i="6"/>
  <c r="F428" i="6"/>
  <c r="E428" i="6"/>
  <c r="C428" i="6"/>
  <c r="B428" i="6"/>
  <c r="R427" i="6"/>
  <c r="Q427" i="6"/>
  <c r="P427" i="6"/>
  <c r="F427" i="6"/>
  <c r="E427" i="6"/>
  <c r="C427" i="6"/>
  <c r="B427" i="6"/>
  <c r="R426" i="6"/>
  <c r="Q426" i="6"/>
  <c r="P426" i="6"/>
  <c r="F426" i="6"/>
  <c r="E426" i="6"/>
  <c r="C426" i="6"/>
  <c r="B426" i="6"/>
  <c r="R425" i="6"/>
  <c r="Q425" i="6"/>
  <c r="P425" i="6"/>
  <c r="F425" i="6"/>
  <c r="E425" i="6"/>
  <c r="C425" i="6"/>
  <c r="B425" i="6"/>
  <c r="R424" i="6"/>
  <c r="Q424" i="6"/>
  <c r="P424" i="6"/>
  <c r="F424" i="6"/>
  <c r="E424" i="6"/>
  <c r="C424" i="6"/>
  <c r="B424" i="6"/>
  <c r="R423" i="6"/>
  <c r="Q423" i="6"/>
  <c r="P423" i="6"/>
  <c r="F423" i="6"/>
  <c r="E423" i="6"/>
  <c r="C423" i="6"/>
  <c r="B423" i="6"/>
  <c r="R422" i="6"/>
  <c r="Q422" i="6"/>
  <c r="P422" i="6"/>
  <c r="F422" i="6"/>
  <c r="E422" i="6"/>
  <c r="C422" i="6"/>
  <c r="B422" i="6"/>
  <c r="R421" i="6"/>
  <c r="Q421" i="6"/>
  <c r="P421" i="6"/>
  <c r="F421" i="6"/>
  <c r="E421" i="6"/>
  <c r="C421" i="6"/>
  <c r="B421" i="6"/>
  <c r="R420" i="6"/>
  <c r="Q420" i="6"/>
  <c r="P420" i="6"/>
  <c r="F420" i="6"/>
  <c r="E420" i="6"/>
  <c r="C420" i="6"/>
  <c r="B420" i="6"/>
  <c r="R419" i="6"/>
  <c r="Q419" i="6"/>
  <c r="P419" i="6"/>
  <c r="F419" i="6"/>
  <c r="E419" i="6"/>
  <c r="C419" i="6"/>
  <c r="B419" i="6"/>
  <c r="R418" i="6"/>
  <c r="Q418" i="6"/>
  <c r="P418" i="6"/>
  <c r="F418" i="6"/>
  <c r="E418" i="6"/>
  <c r="C418" i="6"/>
  <c r="B418" i="6"/>
  <c r="R417" i="6"/>
  <c r="Q417" i="6"/>
  <c r="P417" i="6"/>
  <c r="F417" i="6"/>
  <c r="E417" i="6"/>
  <c r="C417" i="6"/>
  <c r="B417" i="6"/>
  <c r="R416" i="6"/>
  <c r="Q416" i="6"/>
  <c r="P416" i="6"/>
  <c r="F416" i="6"/>
  <c r="E416" i="6"/>
  <c r="C416" i="6"/>
  <c r="B416" i="6"/>
  <c r="R415" i="6"/>
  <c r="Q415" i="6"/>
  <c r="P415" i="6"/>
  <c r="F415" i="6"/>
  <c r="E415" i="6"/>
  <c r="C415" i="6"/>
  <c r="B415" i="6"/>
  <c r="R414" i="6"/>
  <c r="Q414" i="6"/>
  <c r="P414" i="6"/>
  <c r="F414" i="6"/>
  <c r="E414" i="6"/>
  <c r="C414" i="6"/>
  <c r="B414" i="6"/>
  <c r="R413" i="6"/>
  <c r="Q413" i="6"/>
  <c r="P413" i="6"/>
  <c r="F413" i="6"/>
  <c r="E413" i="6"/>
  <c r="C413" i="6"/>
  <c r="B413" i="6"/>
  <c r="R412" i="6"/>
  <c r="Q412" i="6"/>
  <c r="P412" i="6"/>
  <c r="F412" i="6"/>
  <c r="E412" i="6"/>
  <c r="C412" i="6"/>
  <c r="B412" i="6"/>
  <c r="R411" i="6"/>
  <c r="Q411" i="6"/>
  <c r="P411" i="6"/>
  <c r="F411" i="6"/>
  <c r="E411" i="6"/>
  <c r="C411" i="6"/>
  <c r="B411" i="6"/>
  <c r="R410" i="6"/>
  <c r="Q410" i="6"/>
  <c r="P410" i="6"/>
  <c r="F410" i="6"/>
  <c r="E410" i="6"/>
  <c r="C410" i="6"/>
  <c r="B410" i="6"/>
  <c r="R409" i="6"/>
  <c r="Q409" i="6"/>
  <c r="P409" i="6"/>
  <c r="F409" i="6"/>
  <c r="E409" i="6"/>
  <c r="C409" i="6"/>
  <c r="B409" i="6"/>
  <c r="R408" i="6"/>
  <c r="Q408" i="6"/>
  <c r="P408" i="6"/>
  <c r="F408" i="6"/>
  <c r="E408" i="6"/>
  <c r="C408" i="6"/>
  <c r="B408" i="6"/>
  <c r="R407" i="6"/>
  <c r="Q407" i="6"/>
  <c r="P407" i="6"/>
  <c r="F407" i="6"/>
  <c r="E407" i="6"/>
  <c r="C407" i="6"/>
  <c r="B407" i="6"/>
  <c r="R406" i="6"/>
  <c r="Q406" i="6"/>
  <c r="P406" i="6"/>
  <c r="F406" i="6"/>
  <c r="E406" i="6"/>
  <c r="C406" i="6"/>
  <c r="B406" i="6"/>
  <c r="R405" i="6"/>
  <c r="Q405" i="6"/>
  <c r="P405" i="6"/>
  <c r="F405" i="6"/>
  <c r="E405" i="6"/>
  <c r="C405" i="6"/>
  <c r="B405" i="6"/>
  <c r="R404" i="6"/>
  <c r="Q404" i="6"/>
  <c r="P404" i="6"/>
  <c r="F404" i="6"/>
  <c r="E404" i="6"/>
  <c r="C404" i="6"/>
  <c r="B404" i="6"/>
  <c r="R403" i="6"/>
  <c r="Q403" i="6"/>
  <c r="P403" i="6"/>
  <c r="F403" i="6"/>
  <c r="E403" i="6"/>
  <c r="C403" i="6"/>
  <c r="B403" i="6"/>
  <c r="R402" i="6"/>
  <c r="Q402" i="6"/>
  <c r="P402" i="6"/>
  <c r="F402" i="6"/>
  <c r="E402" i="6"/>
  <c r="C402" i="6"/>
  <c r="B402" i="6"/>
  <c r="R401" i="6"/>
  <c r="Q401" i="6"/>
  <c r="P401" i="6"/>
  <c r="F401" i="6"/>
  <c r="E401" i="6"/>
  <c r="C401" i="6"/>
  <c r="B401" i="6"/>
  <c r="R400" i="6"/>
  <c r="Q400" i="6"/>
  <c r="P400" i="6"/>
  <c r="F400" i="6"/>
  <c r="E400" i="6"/>
  <c r="C400" i="6"/>
  <c r="B400" i="6"/>
  <c r="R399" i="6"/>
  <c r="Q399" i="6"/>
  <c r="P399" i="6"/>
  <c r="F399" i="6"/>
  <c r="E399" i="6"/>
  <c r="C399" i="6"/>
  <c r="B399" i="6"/>
  <c r="R398" i="6"/>
  <c r="Q398" i="6"/>
  <c r="P398" i="6"/>
  <c r="F398" i="6"/>
  <c r="E398" i="6"/>
  <c r="C398" i="6"/>
  <c r="B398" i="6"/>
  <c r="R397" i="6"/>
  <c r="Q397" i="6"/>
  <c r="P397" i="6"/>
  <c r="F397" i="6"/>
  <c r="E397" i="6"/>
  <c r="C397" i="6"/>
  <c r="B397" i="6"/>
  <c r="R396" i="6"/>
  <c r="Q396" i="6"/>
  <c r="P396" i="6"/>
  <c r="F396" i="6"/>
  <c r="E396" i="6"/>
  <c r="C396" i="6"/>
  <c r="B396" i="6"/>
  <c r="R395" i="6"/>
  <c r="Q395" i="6"/>
  <c r="P395" i="6"/>
  <c r="F395" i="6"/>
  <c r="E395" i="6"/>
  <c r="C395" i="6"/>
  <c r="B395" i="6"/>
  <c r="R394" i="6"/>
  <c r="Q394" i="6"/>
  <c r="P394" i="6"/>
  <c r="F394" i="6"/>
  <c r="E394" i="6"/>
  <c r="C394" i="6"/>
  <c r="B394" i="6"/>
  <c r="R393" i="6"/>
  <c r="Q393" i="6"/>
  <c r="P393" i="6"/>
  <c r="F393" i="6"/>
  <c r="E393" i="6"/>
  <c r="C393" i="6"/>
  <c r="B393" i="6"/>
  <c r="R392" i="6"/>
  <c r="Q392" i="6"/>
  <c r="P392" i="6"/>
  <c r="F392" i="6"/>
  <c r="E392" i="6"/>
  <c r="C392" i="6"/>
  <c r="B392" i="6"/>
  <c r="R391" i="6"/>
  <c r="Q391" i="6"/>
  <c r="P391" i="6"/>
  <c r="F391" i="6"/>
  <c r="E391" i="6"/>
  <c r="C391" i="6"/>
  <c r="B391" i="6"/>
  <c r="R390" i="6"/>
  <c r="Q390" i="6"/>
  <c r="P390" i="6"/>
  <c r="F390" i="6"/>
  <c r="E390" i="6"/>
  <c r="C390" i="6"/>
  <c r="B390" i="6"/>
  <c r="R389" i="6"/>
  <c r="Q389" i="6"/>
  <c r="P389" i="6"/>
  <c r="F389" i="6"/>
  <c r="E389" i="6"/>
  <c r="C389" i="6"/>
  <c r="B389" i="6"/>
  <c r="R388" i="6"/>
  <c r="Q388" i="6"/>
  <c r="P388" i="6"/>
  <c r="F388" i="6"/>
  <c r="E388" i="6"/>
  <c r="C388" i="6"/>
  <c r="B388" i="6"/>
  <c r="R387" i="6"/>
  <c r="Q387" i="6"/>
  <c r="P387" i="6"/>
  <c r="F387" i="6"/>
  <c r="E387" i="6"/>
  <c r="C387" i="6"/>
  <c r="B387" i="6"/>
  <c r="R386" i="6"/>
  <c r="Q386" i="6"/>
  <c r="P386" i="6"/>
  <c r="F386" i="6"/>
  <c r="E386" i="6"/>
  <c r="C386" i="6"/>
  <c r="B386" i="6"/>
  <c r="R385" i="6"/>
  <c r="Q385" i="6"/>
  <c r="P385" i="6"/>
  <c r="F385" i="6"/>
  <c r="E385" i="6"/>
  <c r="C385" i="6"/>
  <c r="B385" i="6"/>
  <c r="R384" i="6"/>
  <c r="Q384" i="6"/>
  <c r="P384" i="6"/>
  <c r="F384" i="6"/>
  <c r="E384" i="6"/>
  <c r="C384" i="6"/>
  <c r="B384" i="6"/>
  <c r="R383" i="6"/>
  <c r="Q383" i="6"/>
  <c r="P383" i="6"/>
  <c r="F383" i="6"/>
  <c r="E383" i="6"/>
  <c r="C383" i="6"/>
  <c r="B383" i="6"/>
  <c r="R382" i="6"/>
  <c r="Q382" i="6"/>
  <c r="P382" i="6"/>
  <c r="F382" i="6"/>
  <c r="E382" i="6"/>
  <c r="C382" i="6"/>
  <c r="B382" i="6"/>
  <c r="R381" i="6"/>
  <c r="Q381" i="6"/>
  <c r="P381" i="6"/>
  <c r="F381" i="6"/>
  <c r="E381" i="6"/>
  <c r="C381" i="6"/>
  <c r="B381" i="6"/>
  <c r="R380" i="6"/>
  <c r="Q380" i="6"/>
  <c r="P380" i="6"/>
  <c r="F380" i="6"/>
  <c r="E380" i="6"/>
  <c r="C380" i="6"/>
  <c r="B380" i="6"/>
  <c r="R379" i="6"/>
  <c r="Q379" i="6"/>
  <c r="P379" i="6"/>
  <c r="F379" i="6"/>
  <c r="E379" i="6"/>
  <c r="C379" i="6"/>
  <c r="B379" i="6"/>
  <c r="R378" i="6"/>
  <c r="Q378" i="6"/>
  <c r="P378" i="6"/>
  <c r="F378" i="6"/>
  <c r="E378" i="6"/>
  <c r="C378" i="6"/>
  <c r="B378" i="6"/>
  <c r="R377" i="6"/>
  <c r="Q377" i="6"/>
  <c r="P377" i="6"/>
  <c r="F377" i="6"/>
  <c r="E377" i="6"/>
  <c r="C377" i="6"/>
  <c r="B377" i="6"/>
  <c r="R376" i="6"/>
  <c r="Q376" i="6"/>
  <c r="P376" i="6"/>
  <c r="F376" i="6"/>
  <c r="E376" i="6"/>
  <c r="C376" i="6"/>
  <c r="B376" i="6"/>
  <c r="R375" i="6"/>
  <c r="Q375" i="6"/>
  <c r="P375" i="6"/>
  <c r="F375" i="6"/>
  <c r="E375" i="6"/>
  <c r="C375" i="6"/>
  <c r="B375" i="6"/>
  <c r="R374" i="6"/>
  <c r="Q374" i="6"/>
  <c r="P374" i="6"/>
  <c r="F374" i="6"/>
  <c r="E374" i="6"/>
  <c r="C374" i="6"/>
  <c r="B374" i="6"/>
  <c r="R373" i="6"/>
  <c r="Q373" i="6"/>
  <c r="P373" i="6"/>
  <c r="F373" i="6"/>
  <c r="E373" i="6"/>
  <c r="C373" i="6"/>
  <c r="B373" i="6"/>
  <c r="R372" i="6"/>
  <c r="Q372" i="6"/>
  <c r="P372" i="6"/>
  <c r="F372" i="6"/>
  <c r="E372" i="6"/>
  <c r="C372" i="6"/>
  <c r="B372" i="6"/>
  <c r="R371" i="6"/>
  <c r="Q371" i="6"/>
  <c r="P371" i="6"/>
  <c r="F371" i="6"/>
  <c r="E371" i="6"/>
  <c r="C371" i="6"/>
  <c r="B371" i="6"/>
  <c r="R370" i="6"/>
  <c r="Q370" i="6"/>
  <c r="P370" i="6"/>
  <c r="F370" i="6"/>
  <c r="E370" i="6"/>
  <c r="C370" i="6"/>
  <c r="B370" i="6"/>
  <c r="R369" i="6"/>
  <c r="Q369" i="6"/>
  <c r="P369" i="6"/>
  <c r="F369" i="6"/>
  <c r="E369" i="6"/>
  <c r="C369" i="6"/>
  <c r="B369" i="6"/>
  <c r="R368" i="6"/>
  <c r="Q368" i="6"/>
  <c r="P368" i="6"/>
  <c r="F368" i="6"/>
  <c r="E368" i="6"/>
  <c r="C368" i="6"/>
  <c r="B368" i="6"/>
  <c r="R367" i="6"/>
  <c r="Q367" i="6"/>
  <c r="P367" i="6"/>
  <c r="F367" i="6"/>
  <c r="E367" i="6"/>
  <c r="C367" i="6"/>
  <c r="B367" i="6"/>
  <c r="R366" i="6"/>
  <c r="Q366" i="6"/>
  <c r="P366" i="6"/>
  <c r="F366" i="6"/>
  <c r="E366" i="6"/>
  <c r="C366" i="6"/>
  <c r="B366" i="6"/>
  <c r="R365" i="6"/>
  <c r="Q365" i="6"/>
  <c r="P365" i="6"/>
  <c r="F365" i="6"/>
  <c r="E365" i="6"/>
  <c r="C365" i="6"/>
  <c r="B365" i="6"/>
  <c r="R364" i="6"/>
  <c r="Q364" i="6"/>
  <c r="P364" i="6"/>
  <c r="F364" i="6"/>
  <c r="E364" i="6"/>
  <c r="C364" i="6"/>
  <c r="B364" i="6"/>
  <c r="R363" i="6"/>
  <c r="Q363" i="6"/>
  <c r="P363" i="6"/>
  <c r="F363" i="6"/>
  <c r="E363" i="6"/>
  <c r="C363" i="6"/>
  <c r="B363" i="6"/>
  <c r="R362" i="6"/>
  <c r="Q362" i="6"/>
  <c r="P362" i="6"/>
  <c r="F362" i="6"/>
  <c r="E362" i="6"/>
  <c r="C362" i="6"/>
  <c r="B362" i="6"/>
  <c r="R361" i="6"/>
  <c r="Q361" i="6"/>
  <c r="P361" i="6"/>
  <c r="F361" i="6"/>
  <c r="E361" i="6"/>
  <c r="C361" i="6"/>
  <c r="B361" i="6"/>
  <c r="R360" i="6"/>
  <c r="Q360" i="6"/>
  <c r="P360" i="6"/>
  <c r="F360" i="6"/>
  <c r="E360" i="6"/>
  <c r="C360" i="6"/>
  <c r="B360" i="6"/>
  <c r="R359" i="6"/>
  <c r="Q359" i="6"/>
  <c r="P359" i="6"/>
  <c r="F359" i="6"/>
  <c r="E359" i="6"/>
  <c r="C359" i="6"/>
  <c r="B359" i="6"/>
  <c r="R358" i="6"/>
  <c r="Q358" i="6"/>
  <c r="P358" i="6"/>
  <c r="F358" i="6"/>
  <c r="E358" i="6"/>
  <c r="C358" i="6"/>
  <c r="B358" i="6"/>
  <c r="R357" i="6"/>
  <c r="Q357" i="6"/>
  <c r="P357" i="6"/>
  <c r="F357" i="6"/>
  <c r="E357" i="6"/>
  <c r="C357" i="6"/>
  <c r="B357" i="6"/>
  <c r="R356" i="6"/>
  <c r="Q356" i="6"/>
  <c r="P356" i="6"/>
  <c r="F356" i="6"/>
  <c r="E356" i="6"/>
  <c r="C356" i="6"/>
  <c r="B356" i="6"/>
  <c r="R355" i="6"/>
  <c r="Q355" i="6"/>
  <c r="P355" i="6"/>
  <c r="F355" i="6"/>
  <c r="E355" i="6"/>
  <c r="C355" i="6"/>
  <c r="B355" i="6"/>
  <c r="R354" i="6"/>
  <c r="Q354" i="6"/>
  <c r="P354" i="6"/>
  <c r="F354" i="6"/>
  <c r="E354" i="6"/>
  <c r="C354" i="6"/>
  <c r="B354" i="6"/>
  <c r="R353" i="6"/>
  <c r="Q353" i="6"/>
  <c r="P353" i="6"/>
  <c r="F353" i="6"/>
  <c r="E353" i="6"/>
  <c r="C353" i="6"/>
  <c r="B353" i="6"/>
  <c r="R352" i="6"/>
  <c r="Q352" i="6"/>
  <c r="P352" i="6"/>
  <c r="F352" i="6"/>
  <c r="E352" i="6"/>
  <c r="C352" i="6"/>
  <c r="B352" i="6"/>
  <c r="R351" i="6"/>
  <c r="Q351" i="6"/>
  <c r="P351" i="6"/>
  <c r="F351" i="6"/>
  <c r="E351" i="6"/>
  <c r="C351" i="6"/>
  <c r="B351" i="6"/>
  <c r="R350" i="6"/>
  <c r="Q350" i="6"/>
  <c r="P350" i="6"/>
  <c r="F350" i="6"/>
  <c r="E350" i="6"/>
  <c r="C350" i="6"/>
  <c r="B350" i="6"/>
  <c r="R349" i="6"/>
  <c r="Q349" i="6"/>
  <c r="P349" i="6"/>
  <c r="F349" i="6"/>
  <c r="E349" i="6"/>
  <c r="C349" i="6"/>
  <c r="B349" i="6"/>
  <c r="R348" i="6"/>
  <c r="Q348" i="6"/>
  <c r="P348" i="6"/>
  <c r="F348" i="6"/>
  <c r="E348" i="6"/>
  <c r="C348" i="6"/>
  <c r="B348" i="6"/>
  <c r="R347" i="6"/>
  <c r="Q347" i="6"/>
  <c r="P347" i="6"/>
  <c r="F347" i="6"/>
  <c r="E347" i="6"/>
  <c r="C347" i="6"/>
  <c r="B347" i="6"/>
  <c r="R346" i="6"/>
  <c r="Q346" i="6"/>
  <c r="P346" i="6"/>
  <c r="F346" i="6"/>
  <c r="E346" i="6"/>
  <c r="C346" i="6"/>
  <c r="B346" i="6"/>
  <c r="R345" i="6"/>
  <c r="Q345" i="6"/>
  <c r="P345" i="6"/>
  <c r="F345" i="6"/>
  <c r="E345" i="6"/>
  <c r="C345" i="6"/>
  <c r="B345" i="6"/>
  <c r="R344" i="6"/>
  <c r="Q344" i="6"/>
  <c r="P344" i="6"/>
  <c r="F344" i="6"/>
  <c r="E344" i="6"/>
  <c r="C344" i="6"/>
  <c r="B344" i="6"/>
  <c r="R343" i="6"/>
  <c r="Q343" i="6"/>
  <c r="P343" i="6"/>
  <c r="F343" i="6"/>
  <c r="E343" i="6"/>
  <c r="C343" i="6"/>
  <c r="B343" i="6"/>
  <c r="R342" i="6"/>
  <c r="Q342" i="6"/>
  <c r="P342" i="6"/>
  <c r="F342" i="6"/>
  <c r="E342" i="6"/>
  <c r="C342" i="6"/>
  <c r="B342" i="6"/>
  <c r="R341" i="6"/>
  <c r="Q341" i="6"/>
  <c r="P341" i="6"/>
  <c r="F341" i="6"/>
  <c r="E341" i="6"/>
  <c r="C341" i="6"/>
  <c r="B341" i="6"/>
  <c r="R340" i="6"/>
  <c r="Q340" i="6"/>
  <c r="P340" i="6"/>
  <c r="F340" i="6"/>
  <c r="E340" i="6"/>
  <c r="C340" i="6"/>
  <c r="B340" i="6"/>
  <c r="R339" i="6"/>
  <c r="Q339" i="6"/>
  <c r="P339" i="6"/>
  <c r="F339" i="6"/>
  <c r="E339" i="6"/>
  <c r="C339" i="6"/>
  <c r="B339" i="6"/>
  <c r="R338" i="6"/>
  <c r="Q338" i="6"/>
  <c r="P338" i="6"/>
  <c r="F338" i="6"/>
  <c r="E338" i="6"/>
  <c r="C338" i="6"/>
  <c r="B338" i="6"/>
  <c r="R337" i="6"/>
  <c r="Q337" i="6"/>
  <c r="P337" i="6"/>
  <c r="F337" i="6"/>
  <c r="E337" i="6"/>
  <c r="C337" i="6"/>
  <c r="B337" i="6"/>
  <c r="R336" i="6"/>
  <c r="Q336" i="6"/>
  <c r="P336" i="6"/>
  <c r="F336" i="6"/>
  <c r="E336" i="6"/>
  <c r="C336" i="6"/>
  <c r="B336" i="6"/>
  <c r="R335" i="6"/>
  <c r="Q335" i="6"/>
  <c r="P335" i="6"/>
  <c r="F335" i="6"/>
  <c r="E335" i="6"/>
  <c r="C335" i="6"/>
  <c r="B335" i="6"/>
  <c r="R334" i="6"/>
  <c r="Q334" i="6"/>
  <c r="P334" i="6"/>
  <c r="F334" i="6"/>
  <c r="E334" i="6"/>
  <c r="C334" i="6"/>
  <c r="B334" i="6"/>
  <c r="R333" i="6"/>
  <c r="Q333" i="6"/>
  <c r="P333" i="6"/>
  <c r="F333" i="6"/>
  <c r="E333" i="6"/>
  <c r="C333" i="6"/>
  <c r="B333" i="6"/>
  <c r="R332" i="6"/>
  <c r="Q332" i="6"/>
  <c r="P332" i="6"/>
  <c r="F332" i="6"/>
  <c r="E332" i="6"/>
  <c r="C332" i="6"/>
  <c r="B332" i="6"/>
  <c r="R331" i="6"/>
  <c r="Q331" i="6"/>
  <c r="P331" i="6"/>
  <c r="F331" i="6"/>
  <c r="E331" i="6"/>
  <c r="C331" i="6"/>
  <c r="B331" i="6"/>
  <c r="R330" i="6"/>
  <c r="Q330" i="6"/>
  <c r="P330" i="6"/>
  <c r="F330" i="6"/>
  <c r="E330" i="6"/>
  <c r="C330" i="6"/>
  <c r="B330" i="6"/>
  <c r="R329" i="6"/>
  <c r="Q329" i="6"/>
  <c r="P329" i="6"/>
  <c r="F329" i="6"/>
  <c r="E329" i="6"/>
  <c r="C329" i="6"/>
  <c r="B329" i="6"/>
  <c r="R328" i="6"/>
  <c r="Q328" i="6"/>
  <c r="P328" i="6"/>
  <c r="F328" i="6"/>
  <c r="E328" i="6"/>
  <c r="C328" i="6"/>
  <c r="B328" i="6"/>
  <c r="R327" i="6"/>
  <c r="Q327" i="6"/>
  <c r="P327" i="6"/>
  <c r="F327" i="6"/>
  <c r="E327" i="6"/>
  <c r="C327" i="6"/>
  <c r="B327" i="6"/>
  <c r="R326" i="6"/>
  <c r="Q326" i="6"/>
  <c r="P326" i="6"/>
  <c r="F326" i="6"/>
  <c r="E326" i="6"/>
  <c r="C326" i="6"/>
  <c r="B326" i="6"/>
  <c r="R325" i="6"/>
  <c r="Q325" i="6"/>
  <c r="P325" i="6"/>
  <c r="F325" i="6"/>
  <c r="E325" i="6"/>
  <c r="C325" i="6"/>
  <c r="B325" i="6"/>
  <c r="R324" i="6"/>
  <c r="Q324" i="6"/>
  <c r="P324" i="6"/>
  <c r="F324" i="6"/>
  <c r="E324" i="6"/>
  <c r="C324" i="6"/>
  <c r="B324" i="6"/>
  <c r="R323" i="6"/>
  <c r="Q323" i="6"/>
  <c r="P323" i="6"/>
  <c r="F323" i="6"/>
  <c r="E323" i="6"/>
  <c r="C323" i="6"/>
  <c r="B323" i="6"/>
  <c r="R322" i="6"/>
  <c r="Q322" i="6"/>
  <c r="P322" i="6"/>
  <c r="F322" i="6"/>
  <c r="E322" i="6"/>
  <c r="C322" i="6"/>
  <c r="B322" i="6"/>
  <c r="R321" i="6"/>
  <c r="Q321" i="6"/>
  <c r="P321" i="6"/>
  <c r="F321" i="6"/>
  <c r="E321" i="6"/>
  <c r="C321" i="6"/>
  <c r="B321" i="6"/>
  <c r="R320" i="6"/>
  <c r="Q320" i="6"/>
  <c r="P320" i="6"/>
  <c r="F320" i="6"/>
  <c r="E320" i="6"/>
  <c r="C320" i="6"/>
  <c r="B320" i="6"/>
  <c r="R319" i="6"/>
  <c r="Q319" i="6"/>
  <c r="P319" i="6"/>
  <c r="F319" i="6"/>
  <c r="E319" i="6"/>
  <c r="C319" i="6"/>
  <c r="B319" i="6"/>
  <c r="R318" i="6"/>
  <c r="Q318" i="6"/>
  <c r="P318" i="6"/>
  <c r="F318" i="6"/>
  <c r="E318" i="6"/>
  <c r="C318" i="6"/>
  <c r="B318" i="6"/>
  <c r="R317" i="6"/>
  <c r="Q317" i="6"/>
  <c r="P317" i="6"/>
  <c r="F317" i="6"/>
  <c r="E317" i="6"/>
  <c r="C317" i="6"/>
  <c r="B317" i="6"/>
  <c r="R316" i="6"/>
  <c r="Q316" i="6"/>
  <c r="P316" i="6"/>
  <c r="F316" i="6"/>
  <c r="E316" i="6"/>
  <c r="C316" i="6"/>
  <c r="B316" i="6"/>
  <c r="R315" i="6"/>
  <c r="Q315" i="6"/>
  <c r="P315" i="6"/>
  <c r="F315" i="6"/>
  <c r="E315" i="6"/>
  <c r="C315" i="6"/>
  <c r="B315" i="6"/>
  <c r="R314" i="6"/>
  <c r="Q314" i="6"/>
  <c r="P314" i="6"/>
  <c r="F314" i="6"/>
  <c r="E314" i="6"/>
  <c r="C314" i="6"/>
  <c r="B314" i="6"/>
  <c r="R313" i="6"/>
  <c r="Q313" i="6"/>
  <c r="P313" i="6"/>
  <c r="F313" i="6"/>
  <c r="E313" i="6"/>
  <c r="C313" i="6"/>
  <c r="B313" i="6"/>
  <c r="R312" i="6"/>
  <c r="Q312" i="6"/>
  <c r="P312" i="6"/>
  <c r="F312" i="6"/>
  <c r="E312" i="6"/>
  <c r="C312" i="6"/>
  <c r="B312" i="6"/>
  <c r="R311" i="6"/>
  <c r="Q311" i="6"/>
  <c r="P311" i="6"/>
  <c r="F311" i="6"/>
  <c r="E311" i="6"/>
  <c r="C311" i="6"/>
  <c r="B311" i="6"/>
  <c r="R310" i="6"/>
  <c r="Q310" i="6"/>
  <c r="P310" i="6"/>
  <c r="F310" i="6"/>
  <c r="E310" i="6"/>
  <c r="C310" i="6"/>
  <c r="B310" i="6"/>
  <c r="R309" i="6"/>
  <c r="Q309" i="6"/>
  <c r="P309" i="6"/>
  <c r="F309" i="6"/>
  <c r="E309" i="6"/>
  <c r="C309" i="6"/>
  <c r="B309" i="6"/>
  <c r="R308" i="6"/>
  <c r="Q308" i="6"/>
  <c r="P308" i="6"/>
  <c r="F308" i="6"/>
  <c r="E308" i="6"/>
  <c r="C308" i="6"/>
  <c r="B308" i="6"/>
  <c r="R307" i="6"/>
  <c r="Q307" i="6"/>
  <c r="P307" i="6"/>
  <c r="F307" i="6"/>
  <c r="E307" i="6"/>
  <c r="C307" i="6"/>
  <c r="B307" i="6"/>
  <c r="R306" i="6"/>
  <c r="Q306" i="6"/>
  <c r="P306" i="6"/>
  <c r="F306" i="6"/>
  <c r="E306" i="6"/>
  <c r="C306" i="6"/>
  <c r="B306" i="6"/>
  <c r="R305" i="6"/>
  <c r="Q305" i="6"/>
  <c r="P305" i="6"/>
  <c r="F305" i="6"/>
  <c r="E305" i="6"/>
  <c r="C305" i="6"/>
  <c r="B305" i="6"/>
  <c r="R304" i="6"/>
  <c r="Q304" i="6"/>
  <c r="P304" i="6"/>
  <c r="F304" i="6"/>
  <c r="E304" i="6"/>
  <c r="C304" i="6"/>
  <c r="B304" i="6"/>
  <c r="R303" i="6"/>
  <c r="Q303" i="6"/>
  <c r="P303" i="6"/>
  <c r="F303" i="6"/>
  <c r="E303" i="6"/>
  <c r="C303" i="6"/>
  <c r="B303" i="6"/>
  <c r="R302" i="6"/>
  <c r="Q302" i="6"/>
  <c r="P302" i="6"/>
  <c r="F302" i="6"/>
  <c r="E302" i="6"/>
  <c r="C302" i="6"/>
  <c r="B302" i="6"/>
  <c r="R301" i="6"/>
  <c r="Q301" i="6"/>
  <c r="P301" i="6"/>
  <c r="F301" i="6"/>
  <c r="E301" i="6"/>
  <c r="C301" i="6"/>
  <c r="B301" i="6"/>
  <c r="R300" i="6"/>
  <c r="Q300" i="6"/>
  <c r="P300" i="6"/>
  <c r="F300" i="6"/>
  <c r="E300" i="6"/>
  <c r="C300" i="6"/>
  <c r="B300" i="6"/>
  <c r="R299" i="6"/>
  <c r="Q299" i="6"/>
  <c r="P299" i="6"/>
  <c r="F299" i="6"/>
  <c r="E299" i="6"/>
  <c r="C299" i="6"/>
  <c r="B299" i="6"/>
  <c r="R298" i="6"/>
  <c r="Q298" i="6"/>
  <c r="P298" i="6"/>
  <c r="F298" i="6"/>
  <c r="E298" i="6"/>
  <c r="C298" i="6"/>
  <c r="B298" i="6"/>
  <c r="R297" i="6"/>
  <c r="Q297" i="6"/>
  <c r="P297" i="6"/>
  <c r="F297" i="6"/>
  <c r="E297" i="6"/>
  <c r="C297" i="6"/>
  <c r="B297" i="6"/>
  <c r="R296" i="6"/>
  <c r="Q296" i="6"/>
  <c r="P296" i="6"/>
  <c r="F296" i="6"/>
  <c r="E296" i="6"/>
  <c r="C296" i="6"/>
  <c r="B296" i="6"/>
  <c r="R295" i="6"/>
  <c r="Q295" i="6"/>
  <c r="P295" i="6"/>
  <c r="F295" i="6"/>
  <c r="E295" i="6"/>
  <c r="C295" i="6"/>
  <c r="B295" i="6"/>
  <c r="R294" i="6"/>
  <c r="Q294" i="6"/>
  <c r="P294" i="6"/>
  <c r="F294" i="6"/>
  <c r="E294" i="6"/>
  <c r="C294" i="6"/>
  <c r="B294" i="6"/>
  <c r="R293" i="6"/>
  <c r="Q293" i="6"/>
  <c r="P293" i="6"/>
  <c r="F293" i="6"/>
  <c r="E293" i="6"/>
  <c r="C293" i="6"/>
  <c r="B293" i="6"/>
  <c r="R292" i="6"/>
  <c r="Q292" i="6"/>
  <c r="P292" i="6"/>
  <c r="F292" i="6"/>
  <c r="E292" i="6"/>
  <c r="C292" i="6"/>
  <c r="B292" i="6"/>
  <c r="R291" i="6"/>
  <c r="Q291" i="6"/>
  <c r="P291" i="6"/>
  <c r="F291" i="6"/>
  <c r="E291" i="6"/>
  <c r="C291" i="6"/>
  <c r="B291" i="6"/>
  <c r="R290" i="6"/>
  <c r="Q290" i="6"/>
  <c r="P290" i="6"/>
  <c r="F290" i="6"/>
  <c r="E290" i="6"/>
  <c r="C290" i="6"/>
  <c r="B290" i="6"/>
  <c r="R289" i="6"/>
  <c r="Q289" i="6"/>
  <c r="P289" i="6"/>
  <c r="F289" i="6"/>
  <c r="E289" i="6"/>
  <c r="C289" i="6"/>
  <c r="B289" i="6"/>
  <c r="R288" i="6"/>
  <c r="Q288" i="6"/>
  <c r="P288" i="6"/>
  <c r="F288" i="6"/>
  <c r="E288" i="6"/>
  <c r="C288" i="6"/>
  <c r="B288" i="6"/>
  <c r="R287" i="6"/>
  <c r="Q287" i="6"/>
  <c r="P287" i="6"/>
  <c r="F287" i="6"/>
  <c r="E287" i="6"/>
  <c r="C287" i="6"/>
  <c r="B287" i="6"/>
  <c r="R286" i="6"/>
  <c r="Q286" i="6"/>
  <c r="P286" i="6"/>
  <c r="F286" i="6"/>
  <c r="E286" i="6"/>
  <c r="C286" i="6"/>
  <c r="B286" i="6"/>
  <c r="R285" i="6"/>
  <c r="Q285" i="6"/>
  <c r="P285" i="6"/>
  <c r="F285" i="6"/>
  <c r="E285" i="6"/>
  <c r="C285" i="6"/>
  <c r="B285" i="6"/>
  <c r="R284" i="6"/>
  <c r="Q284" i="6"/>
  <c r="P284" i="6"/>
  <c r="F284" i="6"/>
  <c r="E284" i="6"/>
  <c r="C284" i="6"/>
  <c r="B284" i="6"/>
  <c r="R283" i="6"/>
  <c r="Q283" i="6"/>
  <c r="P283" i="6"/>
  <c r="F283" i="6"/>
  <c r="E283" i="6"/>
  <c r="C283" i="6"/>
  <c r="B283" i="6"/>
  <c r="R282" i="6"/>
  <c r="Q282" i="6"/>
  <c r="P282" i="6"/>
  <c r="F282" i="6"/>
  <c r="E282" i="6"/>
  <c r="C282" i="6"/>
  <c r="B282" i="6"/>
  <c r="R281" i="6"/>
  <c r="Q281" i="6"/>
  <c r="P281" i="6"/>
  <c r="F281" i="6"/>
  <c r="E281" i="6"/>
  <c r="C281" i="6"/>
  <c r="B281" i="6"/>
  <c r="R280" i="6"/>
  <c r="Q280" i="6"/>
  <c r="P280" i="6"/>
  <c r="F280" i="6"/>
  <c r="E280" i="6"/>
  <c r="C280" i="6"/>
  <c r="B280" i="6"/>
  <c r="R279" i="6"/>
  <c r="Q279" i="6"/>
  <c r="P279" i="6"/>
  <c r="F279" i="6"/>
  <c r="E279" i="6"/>
  <c r="C279" i="6"/>
  <c r="B279" i="6"/>
  <c r="R278" i="6"/>
  <c r="Q278" i="6"/>
  <c r="P278" i="6"/>
  <c r="F278" i="6"/>
  <c r="E278" i="6"/>
  <c r="C278" i="6"/>
  <c r="B278" i="6"/>
  <c r="R277" i="6"/>
  <c r="Q277" i="6"/>
  <c r="P277" i="6"/>
  <c r="F277" i="6"/>
  <c r="E277" i="6"/>
  <c r="C277" i="6"/>
  <c r="B277" i="6"/>
  <c r="R276" i="6"/>
  <c r="Q276" i="6"/>
  <c r="P276" i="6"/>
  <c r="F276" i="6"/>
  <c r="E276" i="6"/>
  <c r="C276" i="6"/>
  <c r="B276" i="6"/>
  <c r="R275" i="6"/>
  <c r="Q275" i="6"/>
  <c r="P275" i="6"/>
  <c r="F275" i="6"/>
  <c r="E275" i="6"/>
  <c r="C275" i="6"/>
  <c r="B275" i="6"/>
  <c r="R274" i="6"/>
  <c r="Q274" i="6"/>
  <c r="P274" i="6"/>
  <c r="F274" i="6"/>
  <c r="E274" i="6"/>
  <c r="C274" i="6"/>
  <c r="B274" i="6"/>
  <c r="R273" i="6"/>
  <c r="Q273" i="6"/>
  <c r="P273" i="6"/>
  <c r="F273" i="6"/>
  <c r="E273" i="6"/>
  <c r="C273" i="6"/>
  <c r="B273" i="6"/>
  <c r="R272" i="6"/>
  <c r="Q272" i="6"/>
  <c r="P272" i="6"/>
  <c r="F272" i="6"/>
  <c r="E272" i="6"/>
  <c r="C272" i="6"/>
  <c r="B272" i="6"/>
  <c r="R271" i="6"/>
  <c r="Q271" i="6"/>
  <c r="P271" i="6"/>
  <c r="F271" i="6"/>
  <c r="E271" i="6"/>
  <c r="C271" i="6"/>
  <c r="B271" i="6"/>
  <c r="R270" i="6"/>
  <c r="Q270" i="6"/>
  <c r="P270" i="6"/>
  <c r="F270" i="6"/>
  <c r="E270" i="6"/>
  <c r="C270" i="6"/>
  <c r="B270" i="6"/>
  <c r="R269" i="6"/>
  <c r="Q269" i="6"/>
  <c r="P269" i="6"/>
  <c r="F269" i="6"/>
  <c r="E269" i="6"/>
  <c r="C269" i="6"/>
  <c r="B269" i="6"/>
  <c r="R268" i="6"/>
  <c r="Q268" i="6"/>
  <c r="P268" i="6"/>
  <c r="F268" i="6"/>
  <c r="E268" i="6"/>
  <c r="C268" i="6"/>
  <c r="B268" i="6"/>
  <c r="R267" i="6"/>
  <c r="Q267" i="6"/>
  <c r="P267" i="6"/>
  <c r="F267" i="6"/>
  <c r="E267" i="6"/>
  <c r="C267" i="6"/>
  <c r="B267" i="6"/>
  <c r="R266" i="6"/>
  <c r="Q266" i="6"/>
  <c r="P266" i="6"/>
  <c r="F266" i="6"/>
  <c r="E266" i="6"/>
  <c r="C266" i="6"/>
  <c r="B266" i="6"/>
  <c r="R265" i="6"/>
  <c r="Q265" i="6"/>
  <c r="P265" i="6"/>
  <c r="F265" i="6"/>
  <c r="E265" i="6"/>
  <c r="C265" i="6"/>
  <c r="B265" i="6"/>
  <c r="R264" i="6"/>
  <c r="Q264" i="6"/>
  <c r="P264" i="6"/>
  <c r="F264" i="6"/>
  <c r="E264" i="6"/>
  <c r="C264" i="6"/>
  <c r="B264" i="6"/>
  <c r="R263" i="6"/>
  <c r="Q263" i="6"/>
  <c r="P263" i="6"/>
  <c r="F263" i="6"/>
  <c r="E263" i="6"/>
  <c r="C263" i="6"/>
  <c r="B263" i="6"/>
  <c r="R262" i="6"/>
  <c r="Q262" i="6"/>
  <c r="P262" i="6"/>
  <c r="F262" i="6"/>
  <c r="E262" i="6"/>
  <c r="C262" i="6"/>
  <c r="B262" i="6"/>
  <c r="R261" i="6"/>
  <c r="Q261" i="6"/>
  <c r="P261" i="6"/>
  <c r="F261" i="6"/>
  <c r="E261" i="6"/>
  <c r="C261" i="6"/>
  <c r="B261" i="6"/>
  <c r="R260" i="6"/>
  <c r="Q260" i="6"/>
  <c r="P260" i="6"/>
  <c r="F260" i="6"/>
  <c r="E260" i="6"/>
  <c r="C260" i="6"/>
  <c r="B260" i="6"/>
  <c r="R259" i="6"/>
  <c r="Q259" i="6"/>
  <c r="P259" i="6"/>
  <c r="F259" i="6"/>
  <c r="E259" i="6"/>
  <c r="C259" i="6"/>
  <c r="B259" i="6"/>
  <c r="R258" i="6"/>
  <c r="Q258" i="6"/>
  <c r="P258" i="6"/>
  <c r="F258" i="6"/>
  <c r="E258" i="6"/>
  <c r="C258" i="6"/>
  <c r="B258" i="6"/>
  <c r="R257" i="6"/>
  <c r="Q257" i="6"/>
  <c r="P257" i="6"/>
  <c r="F257" i="6"/>
  <c r="E257" i="6"/>
  <c r="C257" i="6"/>
  <c r="B257" i="6"/>
  <c r="R256" i="6"/>
  <c r="Q256" i="6"/>
  <c r="P256" i="6"/>
  <c r="F256" i="6"/>
  <c r="E256" i="6"/>
  <c r="C256" i="6"/>
  <c r="B256" i="6"/>
  <c r="R255" i="6"/>
  <c r="Q255" i="6"/>
  <c r="P255" i="6"/>
  <c r="F255" i="6"/>
  <c r="E255" i="6"/>
  <c r="C255" i="6"/>
  <c r="B255" i="6"/>
  <c r="R254" i="6"/>
  <c r="Q254" i="6"/>
  <c r="P254" i="6"/>
  <c r="F254" i="6"/>
  <c r="E254" i="6"/>
  <c r="C254" i="6"/>
  <c r="B254" i="6"/>
  <c r="R253" i="6"/>
  <c r="Q253" i="6"/>
  <c r="P253" i="6"/>
  <c r="F253" i="6"/>
  <c r="E253" i="6"/>
  <c r="C253" i="6"/>
  <c r="B253" i="6"/>
  <c r="R252" i="6"/>
  <c r="Q252" i="6"/>
  <c r="P252" i="6"/>
  <c r="F252" i="6"/>
  <c r="E252" i="6"/>
  <c r="C252" i="6"/>
  <c r="B252" i="6"/>
  <c r="R251" i="6"/>
  <c r="Q251" i="6"/>
  <c r="P251" i="6"/>
  <c r="F251" i="6"/>
  <c r="E251" i="6"/>
  <c r="C251" i="6"/>
  <c r="B251" i="6"/>
  <c r="R250" i="6"/>
  <c r="Q250" i="6"/>
  <c r="P250" i="6"/>
  <c r="F250" i="6"/>
  <c r="E250" i="6"/>
  <c r="C250" i="6"/>
  <c r="B250" i="6"/>
  <c r="R249" i="6"/>
  <c r="Q249" i="6"/>
  <c r="P249" i="6"/>
  <c r="F249" i="6"/>
  <c r="E249" i="6"/>
  <c r="C249" i="6"/>
  <c r="B249" i="6"/>
  <c r="R248" i="6"/>
  <c r="Q248" i="6"/>
  <c r="P248" i="6"/>
  <c r="F248" i="6"/>
  <c r="E248" i="6"/>
  <c r="C248" i="6"/>
  <c r="B248" i="6"/>
  <c r="R247" i="6"/>
  <c r="Q247" i="6"/>
  <c r="P247" i="6"/>
  <c r="F247" i="6"/>
  <c r="E247" i="6"/>
  <c r="C247" i="6"/>
  <c r="B247" i="6"/>
  <c r="R246" i="6"/>
  <c r="Q246" i="6"/>
  <c r="P246" i="6"/>
  <c r="F246" i="6"/>
  <c r="E246" i="6"/>
  <c r="C246" i="6"/>
  <c r="B246" i="6"/>
  <c r="R245" i="6"/>
  <c r="Q245" i="6"/>
  <c r="P245" i="6"/>
  <c r="F245" i="6"/>
  <c r="E245" i="6"/>
  <c r="C245" i="6"/>
  <c r="B245" i="6"/>
  <c r="R244" i="6"/>
  <c r="Q244" i="6"/>
  <c r="P244" i="6"/>
  <c r="F244" i="6"/>
  <c r="E244" i="6"/>
  <c r="C244" i="6"/>
  <c r="B244" i="6"/>
  <c r="R243" i="6"/>
  <c r="Q243" i="6"/>
  <c r="P243" i="6"/>
  <c r="F243" i="6"/>
  <c r="E243" i="6"/>
  <c r="C243" i="6"/>
  <c r="B243" i="6"/>
  <c r="R242" i="6"/>
  <c r="Q242" i="6"/>
  <c r="P242" i="6"/>
  <c r="F242" i="6"/>
  <c r="E242" i="6"/>
  <c r="C242" i="6"/>
  <c r="B242" i="6"/>
  <c r="R241" i="6"/>
  <c r="Q241" i="6"/>
  <c r="P241" i="6"/>
  <c r="F241" i="6"/>
  <c r="E241" i="6"/>
  <c r="C241" i="6"/>
  <c r="B241" i="6"/>
  <c r="R240" i="6"/>
  <c r="Q240" i="6"/>
  <c r="P240" i="6"/>
  <c r="F240" i="6"/>
  <c r="E240" i="6"/>
  <c r="C240" i="6"/>
  <c r="B240" i="6"/>
  <c r="R239" i="6"/>
  <c r="Q239" i="6"/>
  <c r="P239" i="6"/>
  <c r="F239" i="6"/>
  <c r="E239" i="6"/>
  <c r="C239" i="6"/>
  <c r="B239" i="6"/>
  <c r="R238" i="6"/>
  <c r="Q238" i="6"/>
  <c r="P238" i="6"/>
  <c r="F238" i="6"/>
  <c r="E238" i="6"/>
  <c r="C238" i="6"/>
  <c r="B238" i="6"/>
  <c r="R237" i="6"/>
  <c r="Q237" i="6"/>
  <c r="P237" i="6"/>
  <c r="F237" i="6"/>
  <c r="E237" i="6"/>
  <c r="C237" i="6"/>
  <c r="B237" i="6"/>
  <c r="R236" i="6"/>
  <c r="Q236" i="6"/>
  <c r="P236" i="6"/>
  <c r="F236" i="6"/>
  <c r="E236" i="6"/>
  <c r="C236" i="6"/>
  <c r="B236" i="6"/>
  <c r="R235" i="6"/>
  <c r="Q235" i="6"/>
  <c r="P235" i="6"/>
  <c r="F235" i="6"/>
  <c r="E235" i="6"/>
  <c r="C235" i="6"/>
  <c r="B235" i="6"/>
  <c r="R234" i="6"/>
  <c r="Q234" i="6"/>
  <c r="P234" i="6"/>
  <c r="F234" i="6"/>
  <c r="E234" i="6"/>
  <c r="C234" i="6"/>
  <c r="B234" i="6"/>
  <c r="R233" i="6"/>
  <c r="Q233" i="6"/>
  <c r="P233" i="6"/>
  <c r="F233" i="6"/>
  <c r="E233" i="6"/>
  <c r="C233" i="6"/>
  <c r="B233" i="6"/>
  <c r="R232" i="6"/>
  <c r="Q232" i="6"/>
  <c r="P232" i="6"/>
  <c r="F232" i="6"/>
  <c r="E232" i="6"/>
  <c r="C232" i="6"/>
  <c r="B232" i="6"/>
  <c r="R231" i="6"/>
  <c r="Q231" i="6"/>
  <c r="P231" i="6"/>
  <c r="F231" i="6"/>
  <c r="E231" i="6"/>
  <c r="C231" i="6"/>
  <c r="B231" i="6"/>
  <c r="R230" i="6"/>
  <c r="Q230" i="6"/>
  <c r="P230" i="6"/>
  <c r="F230" i="6"/>
  <c r="E230" i="6"/>
  <c r="C230" i="6"/>
  <c r="B230" i="6"/>
  <c r="R229" i="6"/>
  <c r="Q229" i="6"/>
  <c r="P229" i="6"/>
  <c r="F229" i="6"/>
  <c r="E229" i="6"/>
  <c r="C229" i="6"/>
  <c r="B229" i="6"/>
  <c r="R228" i="6"/>
  <c r="Q228" i="6"/>
  <c r="P228" i="6"/>
  <c r="F228" i="6"/>
  <c r="E228" i="6"/>
  <c r="C228" i="6"/>
  <c r="B228" i="6"/>
  <c r="R227" i="6"/>
  <c r="Q227" i="6"/>
  <c r="P227" i="6"/>
  <c r="F227" i="6"/>
  <c r="E227" i="6"/>
  <c r="C227" i="6"/>
  <c r="B227" i="6"/>
  <c r="R226" i="6"/>
  <c r="Q226" i="6"/>
  <c r="P226" i="6"/>
  <c r="F226" i="6"/>
  <c r="E226" i="6"/>
  <c r="C226" i="6"/>
  <c r="B226" i="6"/>
  <c r="R225" i="6"/>
  <c r="Q225" i="6"/>
  <c r="P225" i="6"/>
  <c r="F225" i="6"/>
  <c r="E225" i="6"/>
  <c r="C225" i="6"/>
  <c r="B225" i="6"/>
  <c r="R224" i="6"/>
  <c r="Q224" i="6"/>
  <c r="P224" i="6"/>
  <c r="F224" i="6"/>
  <c r="E224" i="6"/>
  <c r="C224" i="6"/>
  <c r="B224" i="6"/>
  <c r="R223" i="6"/>
  <c r="Q223" i="6"/>
  <c r="P223" i="6"/>
  <c r="F223" i="6"/>
  <c r="E223" i="6"/>
  <c r="C223" i="6"/>
  <c r="B223" i="6"/>
  <c r="R222" i="6"/>
  <c r="Q222" i="6"/>
  <c r="P222" i="6"/>
  <c r="F222" i="6"/>
  <c r="E222" i="6"/>
  <c r="C222" i="6"/>
  <c r="B222" i="6"/>
  <c r="R221" i="6"/>
  <c r="Q221" i="6"/>
  <c r="P221" i="6"/>
  <c r="F221" i="6"/>
  <c r="E221" i="6"/>
  <c r="C221" i="6"/>
  <c r="B221" i="6"/>
  <c r="R220" i="6"/>
  <c r="Q220" i="6"/>
  <c r="P220" i="6"/>
  <c r="F220" i="6"/>
  <c r="E220" i="6"/>
  <c r="C220" i="6"/>
  <c r="B220" i="6"/>
  <c r="R219" i="6"/>
  <c r="Q219" i="6"/>
  <c r="P219" i="6"/>
  <c r="F219" i="6"/>
  <c r="E219" i="6"/>
  <c r="C219" i="6"/>
  <c r="B219" i="6"/>
  <c r="R218" i="6"/>
  <c r="Q218" i="6"/>
  <c r="P218" i="6"/>
  <c r="F218" i="6"/>
  <c r="E218" i="6"/>
  <c r="C218" i="6"/>
  <c r="B218" i="6"/>
  <c r="R217" i="6"/>
  <c r="Q217" i="6"/>
  <c r="P217" i="6"/>
  <c r="F217" i="6"/>
  <c r="E217" i="6"/>
  <c r="C217" i="6"/>
  <c r="B217" i="6"/>
  <c r="R216" i="6"/>
  <c r="Q216" i="6"/>
  <c r="P216" i="6"/>
  <c r="F216" i="6"/>
  <c r="E216" i="6"/>
  <c r="C216" i="6"/>
  <c r="B216" i="6"/>
  <c r="R215" i="6"/>
  <c r="Q215" i="6"/>
  <c r="P215" i="6"/>
  <c r="F215" i="6"/>
  <c r="E215" i="6"/>
  <c r="C215" i="6"/>
  <c r="B215" i="6"/>
  <c r="R214" i="6"/>
  <c r="Q214" i="6"/>
  <c r="P214" i="6"/>
  <c r="F214" i="6"/>
  <c r="E214" i="6"/>
  <c r="C214" i="6"/>
  <c r="B214" i="6"/>
  <c r="R213" i="6"/>
  <c r="Q213" i="6"/>
  <c r="P213" i="6"/>
  <c r="F213" i="6"/>
  <c r="E213" i="6"/>
  <c r="C213" i="6"/>
  <c r="B213" i="6"/>
  <c r="R212" i="6"/>
  <c r="Q212" i="6"/>
  <c r="P212" i="6"/>
  <c r="F212" i="6"/>
  <c r="E212" i="6"/>
  <c r="C212" i="6"/>
  <c r="B212" i="6"/>
  <c r="R211" i="6"/>
  <c r="Q211" i="6"/>
  <c r="P211" i="6"/>
  <c r="F211" i="6"/>
  <c r="E211" i="6"/>
  <c r="C211" i="6"/>
  <c r="B211" i="6"/>
  <c r="R210" i="6"/>
  <c r="Q210" i="6"/>
  <c r="P210" i="6"/>
  <c r="F210" i="6"/>
  <c r="E210" i="6"/>
  <c r="C210" i="6"/>
  <c r="B210" i="6"/>
  <c r="R209" i="6"/>
  <c r="Q209" i="6"/>
  <c r="P209" i="6"/>
  <c r="F209" i="6"/>
  <c r="E209" i="6"/>
  <c r="C209" i="6"/>
  <c r="B209" i="6"/>
  <c r="R208" i="6"/>
  <c r="Q208" i="6"/>
  <c r="P208" i="6"/>
  <c r="F208" i="6"/>
  <c r="E208" i="6"/>
  <c r="C208" i="6"/>
  <c r="B208" i="6"/>
  <c r="R207" i="6"/>
  <c r="Q207" i="6"/>
  <c r="P207" i="6"/>
  <c r="F207" i="6"/>
  <c r="E207" i="6"/>
  <c r="C207" i="6"/>
  <c r="B207" i="6"/>
  <c r="R206" i="6"/>
  <c r="Q206" i="6"/>
  <c r="P206" i="6"/>
  <c r="F206" i="6"/>
  <c r="E206" i="6"/>
  <c r="C206" i="6"/>
  <c r="B206" i="6"/>
  <c r="R205" i="6"/>
  <c r="Q205" i="6"/>
  <c r="P205" i="6"/>
  <c r="F205" i="6"/>
  <c r="E205" i="6"/>
  <c r="C205" i="6"/>
  <c r="B205" i="6"/>
  <c r="R204" i="6"/>
  <c r="Q204" i="6"/>
  <c r="P204" i="6"/>
  <c r="F204" i="6"/>
  <c r="E204" i="6"/>
  <c r="C204" i="6"/>
  <c r="B204" i="6"/>
  <c r="R203" i="6"/>
  <c r="Q203" i="6"/>
  <c r="P203" i="6"/>
  <c r="F203" i="6"/>
  <c r="E203" i="6"/>
  <c r="C203" i="6"/>
  <c r="B203" i="6"/>
  <c r="R202" i="6"/>
  <c r="Q202" i="6"/>
  <c r="P202" i="6"/>
  <c r="F202" i="6"/>
  <c r="E202" i="6"/>
  <c r="C202" i="6"/>
  <c r="B202" i="6"/>
  <c r="R201" i="6"/>
  <c r="Q201" i="6"/>
  <c r="P201" i="6"/>
  <c r="F201" i="6"/>
  <c r="E201" i="6"/>
  <c r="C201" i="6"/>
  <c r="B201" i="6"/>
  <c r="R200" i="6"/>
  <c r="Q200" i="6"/>
  <c r="P200" i="6"/>
  <c r="F200" i="6"/>
  <c r="E200" i="6"/>
  <c r="C200" i="6"/>
  <c r="B200" i="6"/>
  <c r="R199" i="6"/>
  <c r="Q199" i="6"/>
  <c r="P199" i="6"/>
  <c r="F199" i="6"/>
  <c r="E199" i="6"/>
  <c r="C199" i="6"/>
  <c r="B199" i="6"/>
  <c r="R198" i="6"/>
  <c r="Q198" i="6"/>
  <c r="P198" i="6"/>
  <c r="F198" i="6"/>
  <c r="E198" i="6"/>
  <c r="C198" i="6"/>
  <c r="B198" i="6"/>
  <c r="R197" i="6"/>
  <c r="Q197" i="6"/>
  <c r="P197" i="6"/>
  <c r="F197" i="6"/>
  <c r="E197" i="6"/>
  <c r="C197" i="6"/>
  <c r="B197" i="6"/>
  <c r="R196" i="6"/>
  <c r="Q196" i="6"/>
  <c r="P196" i="6"/>
  <c r="F196" i="6"/>
  <c r="E196" i="6"/>
  <c r="C196" i="6"/>
  <c r="B196" i="6"/>
  <c r="R195" i="6"/>
  <c r="Q195" i="6"/>
  <c r="P195" i="6"/>
  <c r="F195" i="6"/>
  <c r="E195" i="6"/>
  <c r="C195" i="6"/>
  <c r="B195" i="6"/>
  <c r="R194" i="6"/>
  <c r="Q194" i="6"/>
  <c r="P194" i="6"/>
  <c r="F194" i="6"/>
  <c r="E194" i="6"/>
  <c r="C194" i="6"/>
  <c r="B194" i="6"/>
  <c r="R193" i="6"/>
  <c r="Q193" i="6"/>
  <c r="P193" i="6"/>
  <c r="F193" i="6"/>
  <c r="E193" i="6"/>
  <c r="C193" i="6"/>
  <c r="B193" i="6"/>
  <c r="R192" i="6"/>
  <c r="Q192" i="6"/>
  <c r="P192" i="6"/>
  <c r="F192" i="6"/>
  <c r="E192" i="6"/>
  <c r="C192" i="6"/>
  <c r="B192" i="6"/>
  <c r="R191" i="6"/>
  <c r="Q191" i="6"/>
  <c r="P191" i="6"/>
  <c r="F191" i="6"/>
  <c r="E191" i="6"/>
  <c r="C191" i="6"/>
  <c r="B191" i="6"/>
  <c r="R190" i="6"/>
  <c r="Q190" i="6"/>
  <c r="P190" i="6"/>
  <c r="F190" i="6"/>
  <c r="E190" i="6"/>
  <c r="C190" i="6"/>
  <c r="B190" i="6"/>
  <c r="R189" i="6"/>
  <c r="Q189" i="6"/>
  <c r="P189" i="6"/>
  <c r="F189" i="6"/>
  <c r="E189" i="6"/>
  <c r="C189" i="6"/>
  <c r="B189" i="6"/>
  <c r="R188" i="6"/>
  <c r="Q188" i="6"/>
  <c r="P188" i="6"/>
  <c r="F188" i="6"/>
  <c r="E188" i="6"/>
  <c r="C188" i="6"/>
  <c r="B188" i="6"/>
  <c r="R187" i="6"/>
  <c r="Q187" i="6"/>
  <c r="P187" i="6"/>
  <c r="F187" i="6"/>
  <c r="E187" i="6"/>
  <c r="C187" i="6"/>
  <c r="B187" i="6"/>
  <c r="R186" i="6"/>
  <c r="Q186" i="6"/>
  <c r="P186" i="6"/>
  <c r="F186" i="6"/>
  <c r="E186" i="6"/>
  <c r="C186" i="6"/>
  <c r="B186" i="6"/>
  <c r="R185" i="6"/>
  <c r="Q185" i="6"/>
  <c r="P185" i="6"/>
  <c r="F185" i="6"/>
  <c r="E185" i="6"/>
  <c r="C185" i="6"/>
  <c r="B185" i="6"/>
  <c r="R184" i="6"/>
  <c r="Q184" i="6"/>
  <c r="P184" i="6"/>
  <c r="F184" i="6"/>
  <c r="E184" i="6"/>
  <c r="C184" i="6"/>
  <c r="B184" i="6"/>
  <c r="R183" i="6"/>
  <c r="Q183" i="6"/>
  <c r="P183" i="6"/>
  <c r="F183" i="6"/>
  <c r="E183" i="6"/>
  <c r="C183" i="6"/>
  <c r="B183" i="6"/>
  <c r="R182" i="6"/>
  <c r="Q182" i="6"/>
  <c r="P182" i="6"/>
  <c r="F182" i="6"/>
  <c r="E182" i="6"/>
  <c r="C182" i="6"/>
  <c r="B182" i="6"/>
  <c r="R181" i="6"/>
  <c r="Q181" i="6"/>
  <c r="P181" i="6"/>
  <c r="F181" i="6"/>
  <c r="E181" i="6"/>
  <c r="C181" i="6"/>
  <c r="B181" i="6"/>
  <c r="R180" i="6"/>
  <c r="Q180" i="6"/>
  <c r="P180" i="6"/>
  <c r="F180" i="6"/>
  <c r="E180" i="6"/>
  <c r="C180" i="6"/>
  <c r="B180" i="6"/>
  <c r="R179" i="6"/>
  <c r="Q179" i="6"/>
  <c r="P179" i="6"/>
  <c r="F179" i="6"/>
  <c r="E179" i="6"/>
  <c r="C179" i="6"/>
  <c r="B179" i="6"/>
  <c r="R178" i="6"/>
  <c r="Q178" i="6"/>
  <c r="P178" i="6"/>
  <c r="F178" i="6"/>
  <c r="E178" i="6"/>
  <c r="C178" i="6"/>
  <c r="B178" i="6"/>
  <c r="R177" i="6"/>
  <c r="Q177" i="6"/>
  <c r="P177" i="6"/>
  <c r="F177" i="6"/>
  <c r="E177" i="6"/>
  <c r="C177" i="6"/>
  <c r="B177" i="6"/>
  <c r="R176" i="6"/>
  <c r="Q176" i="6"/>
  <c r="P176" i="6"/>
  <c r="F176" i="6"/>
  <c r="E176" i="6"/>
  <c r="C176" i="6"/>
  <c r="B176" i="6"/>
  <c r="R175" i="6"/>
  <c r="Q175" i="6"/>
  <c r="P175" i="6"/>
  <c r="F175" i="6"/>
  <c r="E175" i="6"/>
  <c r="C175" i="6"/>
  <c r="B175" i="6"/>
  <c r="R174" i="6"/>
  <c r="Q174" i="6"/>
  <c r="P174" i="6"/>
  <c r="F174" i="6"/>
  <c r="E174" i="6"/>
  <c r="C174" i="6"/>
  <c r="B174" i="6"/>
  <c r="R173" i="6"/>
  <c r="Q173" i="6"/>
  <c r="P173" i="6"/>
  <c r="F173" i="6"/>
  <c r="E173" i="6"/>
  <c r="C173" i="6"/>
  <c r="B173" i="6"/>
  <c r="R172" i="6"/>
  <c r="Q172" i="6"/>
  <c r="P172" i="6"/>
  <c r="F172" i="6"/>
  <c r="E172" i="6"/>
  <c r="C172" i="6"/>
  <c r="B172" i="6"/>
  <c r="R171" i="6"/>
  <c r="Q171" i="6"/>
  <c r="P171" i="6"/>
  <c r="F171" i="6"/>
  <c r="E171" i="6"/>
  <c r="C171" i="6"/>
  <c r="B171" i="6"/>
  <c r="R170" i="6"/>
  <c r="Q170" i="6"/>
  <c r="P170" i="6"/>
  <c r="F170" i="6"/>
  <c r="E170" i="6"/>
  <c r="C170" i="6"/>
  <c r="B170" i="6"/>
  <c r="R169" i="6"/>
  <c r="Q169" i="6"/>
  <c r="P169" i="6"/>
  <c r="F169" i="6"/>
  <c r="E169" i="6"/>
  <c r="C169" i="6"/>
  <c r="B169" i="6"/>
  <c r="R168" i="6"/>
  <c r="Q168" i="6"/>
  <c r="P168" i="6"/>
  <c r="F168" i="6"/>
  <c r="E168" i="6"/>
  <c r="C168" i="6"/>
  <c r="B168" i="6"/>
  <c r="R167" i="6"/>
  <c r="Q167" i="6"/>
  <c r="P167" i="6"/>
  <c r="F167" i="6"/>
  <c r="E167" i="6"/>
  <c r="C167" i="6"/>
  <c r="B167" i="6"/>
  <c r="R166" i="6"/>
  <c r="Q166" i="6"/>
  <c r="P166" i="6"/>
  <c r="F166" i="6"/>
  <c r="E166" i="6"/>
  <c r="C166" i="6"/>
  <c r="B166" i="6"/>
  <c r="R165" i="6"/>
  <c r="Q165" i="6"/>
  <c r="P165" i="6"/>
  <c r="F165" i="6"/>
  <c r="E165" i="6"/>
  <c r="C165" i="6"/>
  <c r="B165" i="6"/>
  <c r="R164" i="6"/>
  <c r="Q164" i="6"/>
  <c r="P164" i="6"/>
  <c r="F164" i="6"/>
  <c r="E164" i="6"/>
  <c r="C164" i="6"/>
  <c r="B164" i="6"/>
  <c r="R163" i="6"/>
  <c r="Q163" i="6"/>
  <c r="P163" i="6"/>
  <c r="F163" i="6"/>
  <c r="E163" i="6"/>
  <c r="C163" i="6"/>
  <c r="B163" i="6"/>
  <c r="R162" i="6"/>
  <c r="Q162" i="6"/>
  <c r="P162" i="6"/>
  <c r="F162" i="6"/>
  <c r="E162" i="6"/>
  <c r="C162" i="6"/>
  <c r="B162" i="6"/>
  <c r="R161" i="6"/>
  <c r="Q161" i="6"/>
  <c r="P161" i="6"/>
  <c r="F161" i="6"/>
  <c r="E161" i="6"/>
  <c r="C161" i="6"/>
  <c r="B161" i="6"/>
  <c r="R160" i="6"/>
  <c r="Q160" i="6"/>
  <c r="P160" i="6"/>
  <c r="F160" i="6"/>
  <c r="E160" i="6"/>
  <c r="C160" i="6"/>
  <c r="B160" i="6"/>
  <c r="R159" i="6"/>
  <c r="Q159" i="6"/>
  <c r="P159" i="6"/>
  <c r="F159" i="6"/>
  <c r="E159" i="6"/>
  <c r="C159" i="6"/>
  <c r="B159" i="6"/>
  <c r="R158" i="6"/>
  <c r="Q158" i="6"/>
  <c r="P158" i="6"/>
  <c r="F158" i="6"/>
  <c r="E158" i="6"/>
  <c r="C158" i="6"/>
  <c r="B158" i="6"/>
  <c r="R157" i="6"/>
  <c r="Q157" i="6"/>
  <c r="P157" i="6"/>
  <c r="F157" i="6"/>
  <c r="E157" i="6"/>
  <c r="C157" i="6"/>
  <c r="B157" i="6"/>
  <c r="R156" i="6"/>
  <c r="Q156" i="6"/>
  <c r="P156" i="6"/>
  <c r="F156" i="6"/>
  <c r="E156" i="6"/>
  <c r="C156" i="6"/>
  <c r="B156" i="6"/>
  <c r="R155" i="6"/>
  <c r="Q155" i="6"/>
  <c r="P155" i="6"/>
  <c r="F155" i="6"/>
  <c r="E155" i="6"/>
  <c r="C155" i="6"/>
  <c r="B155" i="6"/>
  <c r="R154" i="6"/>
  <c r="Q154" i="6"/>
  <c r="P154" i="6"/>
  <c r="F154" i="6"/>
  <c r="E154" i="6"/>
  <c r="C154" i="6"/>
  <c r="B154" i="6"/>
  <c r="R153" i="6"/>
  <c r="Q153" i="6"/>
  <c r="P153" i="6"/>
  <c r="F153" i="6"/>
  <c r="E153" i="6"/>
  <c r="C153" i="6"/>
  <c r="B153" i="6"/>
  <c r="R152" i="6"/>
  <c r="Q152" i="6"/>
  <c r="P152" i="6"/>
  <c r="F152" i="6"/>
  <c r="E152" i="6"/>
  <c r="C152" i="6"/>
  <c r="B152" i="6"/>
  <c r="R151" i="6"/>
  <c r="Q151" i="6"/>
  <c r="P151" i="6"/>
  <c r="F151" i="6"/>
  <c r="E151" i="6"/>
  <c r="C151" i="6"/>
  <c r="B151" i="6"/>
  <c r="R150" i="6"/>
  <c r="Q150" i="6"/>
  <c r="P150" i="6"/>
  <c r="F150" i="6"/>
  <c r="E150" i="6"/>
  <c r="C150" i="6"/>
  <c r="B150" i="6"/>
  <c r="R149" i="6"/>
  <c r="Q149" i="6"/>
  <c r="P149" i="6"/>
  <c r="F149" i="6"/>
  <c r="E149" i="6"/>
  <c r="C149" i="6"/>
  <c r="B149" i="6"/>
  <c r="R148" i="6"/>
  <c r="Q148" i="6"/>
  <c r="P148" i="6"/>
  <c r="F148" i="6"/>
  <c r="E148" i="6"/>
  <c r="C148" i="6"/>
  <c r="B148" i="6"/>
  <c r="R147" i="6"/>
  <c r="Q147" i="6"/>
  <c r="P147" i="6"/>
  <c r="F147" i="6"/>
  <c r="E147" i="6"/>
  <c r="C147" i="6"/>
  <c r="B147" i="6"/>
  <c r="R146" i="6"/>
  <c r="Q146" i="6"/>
  <c r="P146" i="6"/>
  <c r="F146" i="6"/>
  <c r="E146" i="6"/>
  <c r="C146" i="6"/>
  <c r="B146" i="6"/>
  <c r="R145" i="6"/>
  <c r="Q145" i="6"/>
  <c r="P145" i="6"/>
  <c r="F145" i="6"/>
  <c r="E145" i="6"/>
  <c r="C145" i="6"/>
  <c r="B145" i="6"/>
  <c r="R144" i="6"/>
  <c r="Q144" i="6"/>
  <c r="P144" i="6"/>
  <c r="F144" i="6"/>
  <c r="E144" i="6"/>
  <c r="C144" i="6"/>
  <c r="B144" i="6"/>
  <c r="R143" i="6"/>
  <c r="Q143" i="6"/>
  <c r="P143" i="6"/>
  <c r="F143" i="6"/>
  <c r="E143" i="6"/>
  <c r="C143" i="6"/>
  <c r="B143" i="6"/>
  <c r="R142" i="6"/>
  <c r="Q142" i="6"/>
  <c r="P142" i="6"/>
  <c r="F142" i="6"/>
  <c r="E142" i="6"/>
  <c r="C142" i="6"/>
  <c r="B142" i="6"/>
  <c r="R141" i="6"/>
  <c r="Q141" i="6"/>
  <c r="P141" i="6"/>
  <c r="F141" i="6"/>
  <c r="E141" i="6"/>
  <c r="C141" i="6"/>
  <c r="B141" i="6"/>
  <c r="R140" i="6"/>
  <c r="Q140" i="6"/>
  <c r="P140" i="6"/>
  <c r="F140" i="6"/>
  <c r="E140" i="6"/>
  <c r="C140" i="6"/>
  <c r="B140" i="6"/>
  <c r="R139" i="6"/>
  <c r="Q139" i="6"/>
  <c r="P139" i="6"/>
  <c r="F139" i="6"/>
  <c r="E139" i="6"/>
  <c r="C139" i="6"/>
  <c r="B139" i="6"/>
  <c r="R138" i="6"/>
  <c r="Q138" i="6"/>
  <c r="P138" i="6"/>
  <c r="F138" i="6"/>
  <c r="E138" i="6"/>
  <c r="C138" i="6"/>
  <c r="B138" i="6"/>
  <c r="R137" i="6"/>
  <c r="Q137" i="6"/>
  <c r="P137" i="6"/>
  <c r="F137" i="6"/>
  <c r="E137" i="6"/>
  <c r="C137" i="6"/>
  <c r="B137" i="6"/>
  <c r="R136" i="6"/>
  <c r="Q136" i="6"/>
  <c r="P136" i="6"/>
  <c r="F136" i="6"/>
  <c r="E136" i="6"/>
  <c r="C136" i="6"/>
  <c r="B136" i="6"/>
  <c r="R135" i="6"/>
  <c r="Q135" i="6"/>
  <c r="P135" i="6"/>
  <c r="F135" i="6"/>
  <c r="E135" i="6"/>
  <c r="C135" i="6"/>
  <c r="B135" i="6"/>
  <c r="R134" i="6"/>
  <c r="Q134" i="6"/>
  <c r="P134" i="6"/>
  <c r="F134" i="6"/>
  <c r="E134" i="6"/>
  <c r="C134" i="6"/>
  <c r="B134" i="6"/>
  <c r="R133" i="6"/>
  <c r="Q133" i="6"/>
  <c r="P133" i="6"/>
  <c r="F133" i="6"/>
  <c r="E133" i="6"/>
  <c r="C133" i="6"/>
  <c r="B133" i="6"/>
  <c r="R132" i="6"/>
  <c r="Q132" i="6"/>
  <c r="P132" i="6"/>
  <c r="F132" i="6"/>
  <c r="E132" i="6"/>
  <c r="C132" i="6"/>
  <c r="B132" i="6"/>
  <c r="R131" i="6"/>
  <c r="Q131" i="6"/>
  <c r="P131" i="6"/>
  <c r="F131" i="6"/>
  <c r="E131" i="6"/>
  <c r="C131" i="6"/>
  <c r="B131" i="6"/>
  <c r="R130" i="6"/>
  <c r="P130" i="6"/>
  <c r="Q130" i="6" s="1"/>
  <c r="R129" i="6"/>
  <c r="P129" i="6"/>
  <c r="Q129" i="6" s="1"/>
  <c r="R128" i="6"/>
  <c r="P128" i="6"/>
  <c r="Q128" i="6" s="1"/>
  <c r="R127" i="6"/>
  <c r="P127" i="6"/>
  <c r="Q127" i="6" s="1"/>
  <c r="R126" i="6"/>
  <c r="P126" i="6"/>
  <c r="Q126" i="6" s="1"/>
  <c r="R125" i="6"/>
  <c r="P125" i="6"/>
  <c r="Q125" i="6" s="1"/>
  <c r="R124" i="6"/>
  <c r="P124" i="6"/>
  <c r="Q124" i="6" s="1"/>
  <c r="R123" i="6"/>
  <c r="P123" i="6"/>
  <c r="Q123" i="6" s="1"/>
  <c r="R122" i="6"/>
  <c r="Q122" i="6"/>
  <c r="P122" i="6"/>
  <c r="R121" i="6"/>
  <c r="P121" i="6"/>
  <c r="Q121" i="6" s="1"/>
  <c r="R120" i="6"/>
  <c r="P120" i="6"/>
  <c r="Q120" i="6" s="1"/>
  <c r="R119" i="6"/>
  <c r="P119" i="6"/>
  <c r="Q119" i="6" s="1"/>
  <c r="R118" i="6"/>
  <c r="P118" i="6"/>
  <c r="Q118" i="6" s="1"/>
  <c r="R117" i="6"/>
  <c r="P117" i="6"/>
  <c r="Q117" i="6" s="1"/>
  <c r="R116" i="6"/>
  <c r="P116" i="6"/>
  <c r="Q116" i="6" s="1"/>
  <c r="R115" i="6"/>
  <c r="Q115" i="6"/>
  <c r="P115" i="6"/>
  <c r="R114" i="6"/>
  <c r="P114" i="6"/>
  <c r="Q114" i="6" s="1"/>
  <c r="R113" i="6"/>
  <c r="P113" i="6"/>
  <c r="Q113" i="6" s="1"/>
  <c r="R112" i="6"/>
  <c r="P112" i="6"/>
  <c r="Q112" i="6" s="1"/>
  <c r="R111" i="6"/>
  <c r="P111" i="6"/>
  <c r="Q111" i="6" s="1"/>
  <c r="R110" i="6"/>
  <c r="P110" i="6"/>
  <c r="Q110" i="6" s="1"/>
  <c r="R109" i="6"/>
  <c r="P109" i="6"/>
  <c r="Q109" i="6" s="1"/>
  <c r="R108" i="6"/>
  <c r="P108" i="6"/>
  <c r="Q108" i="6" s="1"/>
  <c r="R107" i="6"/>
  <c r="Q107" i="6"/>
  <c r="P107" i="6"/>
  <c r="F107" i="6"/>
  <c r="E107" i="6"/>
  <c r="C107" i="6"/>
  <c r="B107" i="6"/>
  <c r="R106" i="6"/>
  <c r="P106" i="6"/>
  <c r="Q106" i="6" s="1"/>
  <c r="F106" i="6"/>
  <c r="E106" i="6"/>
  <c r="C106" i="6"/>
  <c r="B106" i="6"/>
  <c r="R105" i="6"/>
  <c r="P105" i="6"/>
  <c r="Q105" i="6" s="1"/>
  <c r="F105" i="6"/>
  <c r="E105" i="6"/>
  <c r="C105" i="6"/>
  <c r="B105" i="6"/>
  <c r="R104" i="6"/>
  <c r="P104" i="6"/>
  <c r="Q104" i="6" s="1"/>
  <c r="F104" i="6"/>
  <c r="E104" i="6"/>
  <c r="C104" i="6"/>
  <c r="B104" i="6"/>
  <c r="R103" i="6"/>
  <c r="P103" i="6"/>
  <c r="Q103" i="6" s="1"/>
  <c r="F103" i="6"/>
  <c r="E103" i="6"/>
  <c r="C103" i="6"/>
  <c r="B103" i="6"/>
  <c r="R102" i="6"/>
  <c r="P102" i="6"/>
  <c r="Q102" i="6" s="1"/>
  <c r="F102" i="6"/>
  <c r="E102" i="6"/>
  <c r="C102" i="6"/>
  <c r="B102" i="6"/>
  <c r="R101" i="6"/>
  <c r="P101" i="6"/>
  <c r="Q101" i="6" s="1"/>
  <c r="F101" i="6"/>
  <c r="E101" i="6"/>
  <c r="C101" i="6"/>
  <c r="B101" i="6"/>
  <c r="R100" i="6"/>
  <c r="Q100" i="6"/>
  <c r="P100" i="6"/>
  <c r="F100" i="6"/>
  <c r="E100" i="6"/>
  <c r="C100" i="6"/>
  <c r="B100" i="6"/>
  <c r="R99" i="6"/>
  <c r="Q99" i="6"/>
  <c r="P99" i="6"/>
  <c r="F99" i="6"/>
  <c r="E99" i="6"/>
  <c r="C99" i="6"/>
  <c r="B99" i="6"/>
  <c r="R98" i="6"/>
  <c r="Q98" i="6"/>
  <c r="P98" i="6"/>
  <c r="R97" i="6"/>
  <c r="Q97" i="6"/>
  <c r="P97" i="6"/>
  <c r="R96" i="6"/>
  <c r="P96" i="6"/>
  <c r="Q96" i="6" s="1"/>
  <c r="R95" i="6"/>
  <c r="P95" i="6"/>
  <c r="Q95" i="6" s="1"/>
  <c r="R94" i="6"/>
  <c r="Q94" i="6"/>
  <c r="P94" i="6"/>
  <c r="R93" i="6"/>
  <c r="Q93" i="6"/>
  <c r="P93" i="6"/>
  <c r="R92" i="6"/>
  <c r="P92" i="6"/>
  <c r="Q92" i="6" s="1"/>
  <c r="R91" i="6"/>
  <c r="P91" i="6"/>
  <c r="Q91" i="6" s="1"/>
  <c r="R90" i="6"/>
  <c r="P90" i="6"/>
  <c r="Q90" i="6" s="1"/>
  <c r="R89" i="6"/>
  <c r="P89" i="6"/>
  <c r="Q89" i="6" s="1"/>
  <c r="R88" i="6"/>
  <c r="P88" i="6"/>
  <c r="Q88" i="6" s="1"/>
  <c r="R87" i="6"/>
  <c r="P87" i="6"/>
  <c r="Q87" i="6" s="1"/>
  <c r="R86" i="6"/>
  <c r="P86" i="6"/>
  <c r="Q86" i="6" s="1"/>
  <c r="R85" i="6"/>
  <c r="P85" i="6"/>
  <c r="Q85" i="6" s="1"/>
  <c r="R84" i="6"/>
  <c r="P84" i="6"/>
  <c r="Q84" i="6" s="1"/>
  <c r="R83" i="6"/>
  <c r="P83" i="6"/>
  <c r="Q83" i="6" s="1"/>
  <c r="R82" i="6"/>
  <c r="P82" i="6"/>
  <c r="Q82" i="6" s="1"/>
  <c r="R81" i="6"/>
  <c r="P81" i="6"/>
  <c r="Q81" i="6" s="1"/>
  <c r="R80" i="6"/>
  <c r="P80" i="6"/>
  <c r="Q80" i="6" s="1"/>
  <c r="R79" i="6"/>
  <c r="P79" i="6"/>
  <c r="Q79" i="6" s="1"/>
  <c r="R78" i="6"/>
  <c r="P78" i="6"/>
  <c r="Q78" i="6" s="1"/>
  <c r="R77" i="6"/>
  <c r="P77" i="6"/>
  <c r="Q77" i="6" s="1"/>
  <c r="R76" i="6"/>
  <c r="P76" i="6"/>
  <c r="Q76" i="6" s="1"/>
  <c r="R75" i="6"/>
  <c r="P75" i="6"/>
  <c r="Q75" i="6" s="1"/>
  <c r="F75" i="6"/>
  <c r="E75" i="6"/>
  <c r="C75" i="6"/>
  <c r="B75" i="6"/>
  <c r="R74" i="6"/>
  <c r="P74" i="6"/>
  <c r="Q74" i="6" s="1"/>
  <c r="F74" i="6"/>
  <c r="E74" i="6"/>
  <c r="C74" i="6"/>
  <c r="B74" i="6"/>
  <c r="R73" i="6"/>
  <c r="Q73" i="6"/>
  <c r="P73" i="6"/>
  <c r="F73" i="6"/>
  <c r="E73" i="6"/>
  <c r="C73" i="6"/>
  <c r="B73" i="6"/>
  <c r="R72" i="6"/>
  <c r="P72" i="6"/>
  <c r="Q72" i="6" s="1"/>
  <c r="F72" i="6"/>
  <c r="E72" i="6"/>
  <c r="C72" i="6"/>
  <c r="B72" i="6"/>
  <c r="R71" i="6"/>
  <c r="P71" i="6"/>
  <c r="Q71" i="6" s="1"/>
  <c r="F71" i="6"/>
  <c r="E71" i="6"/>
  <c r="C71" i="6"/>
  <c r="B71" i="6"/>
  <c r="R70" i="6"/>
  <c r="Q70" i="6"/>
  <c r="P70" i="6"/>
  <c r="F70" i="6"/>
  <c r="E70" i="6"/>
  <c r="C70" i="6"/>
  <c r="B70" i="6"/>
  <c r="R69" i="6"/>
  <c r="Q69" i="6"/>
  <c r="P69" i="6"/>
  <c r="F69" i="6"/>
  <c r="E69" i="6"/>
  <c r="C69" i="6"/>
  <c r="B69" i="6"/>
  <c r="R68" i="6"/>
  <c r="P68" i="6"/>
  <c r="Q68" i="6" s="1"/>
  <c r="F68" i="6"/>
  <c r="E68" i="6"/>
  <c r="C68" i="6"/>
  <c r="B68" i="6"/>
  <c r="R67" i="6"/>
  <c r="Q67" i="6"/>
  <c r="P67" i="6"/>
  <c r="F67" i="6"/>
  <c r="E67" i="6"/>
  <c r="C67" i="6"/>
  <c r="B67" i="6"/>
  <c r="R66" i="6"/>
  <c r="P66" i="6"/>
  <c r="Q66" i="6" s="1"/>
  <c r="R65" i="6"/>
  <c r="P65" i="6"/>
  <c r="Q65" i="6" s="1"/>
  <c r="R64" i="6"/>
  <c r="P64" i="6"/>
  <c r="Q64" i="6" s="1"/>
  <c r="R63" i="6"/>
  <c r="Q63" i="6"/>
  <c r="P63" i="6"/>
  <c r="R62" i="6"/>
  <c r="Q62" i="6"/>
  <c r="P62" i="6"/>
  <c r="R61" i="6"/>
  <c r="P61" i="6"/>
  <c r="Q61" i="6" s="1"/>
  <c r="R60" i="6"/>
  <c r="P60" i="6"/>
  <c r="Q60" i="6" s="1"/>
  <c r="R59" i="6"/>
  <c r="P59" i="6"/>
  <c r="Q59" i="6" s="1"/>
  <c r="R58" i="6"/>
  <c r="Q58" i="6"/>
  <c r="P58" i="6"/>
  <c r="R57" i="6"/>
  <c r="P57" i="6"/>
  <c r="Q57" i="6" s="1"/>
  <c r="R56" i="6"/>
  <c r="P56" i="6"/>
  <c r="Q56" i="6" s="1"/>
  <c r="R55" i="6"/>
  <c r="Q55" i="6"/>
  <c r="P55" i="6"/>
  <c r="R54" i="6"/>
  <c r="Q54" i="6"/>
  <c r="P54" i="6"/>
  <c r="R53" i="6"/>
  <c r="P53" i="6"/>
  <c r="Q53" i="6" s="1"/>
  <c r="R52" i="6"/>
  <c r="P52" i="6"/>
  <c r="Q52" i="6" s="1"/>
  <c r="R51" i="6"/>
  <c r="Q51" i="6"/>
  <c r="P51" i="6"/>
  <c r="R50" i="6"/>
  <c r="P50" i="6"/>
  <c r="Q50" i="6" s="1"/>
  <c r="R49" i="6"/>
  <c r="P49" i="6"/>
  <c r="Q49" i="6" s="1"/>
  <c r="R48" i="6"/>
  <c r="P48" i="6"/>
  <c r="Q48" i="6" s="1"/>
  <c r="R47" i="6"/>
  <c r="Q47" i="6"/>
  <c r="P47" i="6"/>
  <c r="R46" i="6"/>
  <c r="Q46" i="6"/>
  <c r="P46" i="6"/>
  <c r="R45" i="6"/>
  <c r="P45" i="6"/>
  <c r="Q45" i="6" s="1"/>
  <c r="R44" i="6"/>
  <c r="P44" i="6"/>
  <c r="Q44" i="6" s="1"/>
  <c r="R43" i="6"/>
  <c r="Q43" i="6"/>
  <c r="P43" i="6"/>
  <c r="F43" i="6"/>
  <c r="E43" i="6"/>
  <c r="C43" i="6"/>
  <c r="B43" i="6"/>
  <c r="R42" i="6"/>
  <c r="Q42" i="6"/>
  <c r="P42" i="6"/>
  <c r="F42" i="6"/>
  <c r="E42" i="6"/>
  <c r="C42" i="6"/>
  <c r="B42" i="6"/>
  <c r="R41" i="6"/>
  <c r="Q41" i="6"/>
  <c r="P41" i="6"/>
  <c r="F41" i="6"/>
  <c r="E41" i="6"/>
  <c r="C41" i="6"/>
  <c r="B41" i="6"/>
  <c r="R40" i="6"/>
  <c r="Q40" i="6"/>
  <c r="P40" i="6"/>
  <c r="F40" i="6"/>
  <c r="E40" i="6"/>
  <c r="C40" i="6"/>
  <c r="B40" i="6"/>
  <c r="R39" i="6"/>
  <c r="Q39" i="6"/>
  <c r="P39" i="6"/>
  <c r="F39" i="6"/>
  <c r="E39" i="6"/>
  <c r="C39" i="6"/>
  <c r="B39" i="6"/>
  <c r="R38" i="6"/>
  <c r="Q38" i="6"/>
  <c r="P38" i="6"/>
  <c r="F38" i="6"/>
  <c r="E38" i="6"/>
  <c r="C38" i="6"/>
  <c r="B38" i="6"/>
  <c r="R37" i="6"/>
  <c r="Q37" i="6"/>
  <c r="P37" i="6"/>
  <c r="F37" i="6"/>
  <c r="E37" i="6"/>
  <c r="C37" i="6"/>
  <c r="B37" i="6"/>
  <c r="R36" i="6"/>
  <c r="Q36" i="6"/>
  <c r="P36" i="6"/>
  <c r="F36" i="6"/>
  <c r="E36" i="6"/>
  <c r="C36" i="6"/>
  <c r="B36" i="6"/>
  <c r="R35" i="6"/>
  <c r="Q35" i="6"/>
  <c r="P35" i="6"/>
  <c r="F35" i="6"/>
  <c r="E35" i="6"/>
  <c r="C35" i="6"/>
  <c r="B35" i="6"/>
  <c r="R34" i="6"/>
  <c r="Q34" i="6"/>
  <c r="P34" i="6"/>
  <c r="F34" i="6"/>
  <c r="E34" i="6"/>
  <c r="C34" i="6"/>
  <c r="B34" i="6"/>
  <c r="R33" i="6"/>
  <c r="P33" i="6"/>
  <c r="Q33" i="6" s="1"/>
  <c r="F33" i="6"/>
  <c r="E33" i="6"/>
  <c r="C33" i="6"/>
  <c r="B33" i="6"/>
  <c r="R32" i="6"/>
  <c r="Q32" i="6"/>
  <c r="P32" i="6"/>
  <c r="F32" i="6"/>
  <c r="E32" i="6"/>
  <c r="C32" i="6"/>
  <c r="B32" i="6"/>
  <c r="R31" i="6"/>
  <c r="Q31" i="6"/>
  <c r="P31" i="6"/>
  <c r="F31" i="6"/>
  <c r="E31" i="6"/>
  <c r="C31" i="6"/>
  <c r="B31" i="6"/>
  <c r="R30" i="6"/>
  <c r="P30" i="6"/>
  <c r="Q30" i="6" s="1"/>
  <c r="F30" i="6"/>
  <c r="E30" i="6"/>
  <c r="C30" i="6"/>
  <c r="B30" i="6"/>
  <c r="R29" i="6"/>
  <c r="P29" i="6"/>
  <c r="Q29" i="6" s="1"/>
  <c r="F29" i="6"/>
  <c r="E29" i="6"/>
  <c r="C29" i="6"/>
  <c r="B29" i="6"/>
  <c r="R28" i="6"/>
  <c r="Q28" i="6"/>
  <c r="P28" i="6"/>
  <c r="F28" i="6"/>
  <c r="E28" i="6"/>
  <c r="C28" i="6"/>
  <c r="B28" i="6"/>
  <c r="R27" i="6"/>
  <c r="P27" i="6"/>
  <c r="Q27" i="6" s="1"/>
  <c r="F27" i="6"/>
  <c r="E27" i="6"/>
  <c r="C27" i="6"/>
  <c r="B27" i="6"/>
  <c r="R26" i="6"/>
  <c r="Q26" i="6"/>
  <c r="P26" i="6"/>
  <c r="F26" i="6"/>
  <c r="E26" i="6"/>
  <c r="C26" i="6"/>
  <c r="B26" i="6"/>
  <c r="R25" i="6"/>
  <c r="P25" i="6"/>
  <c r="Q25" i="6" s="1"/>
  <c r="F25" i="6"/>
  <c r="E25" i="6"/>
  <c r="C25" i="6"/>
  <c r="B25" i="6"/>
  <c r="R24" i="6"/>
  <c r="Q24" i="6"/>
  <c r="P24" i="6"/>
  <c r="F24" i="6"/>
  <c r="E24" i="6"/>
  <c r="C24" i="6"/>
  <c r="B24" i="6"/>
  <c r="R23" i="6"/>
  <c r="P23" i="6"/>
  <c r="Q23" i="6" s="1"/>
  <c r="F23" i="6"/>
  <c r="E23" i="6"/>
  <c r="C23" i="6"/>
  <c r="B23" i="6"/>
  <c r="R22" i="6"/>
  <c r="P22" i="6"/>
  <c r="Q22" i="6" s="1"/>
  <c r="F22" i="6"/>
  <c r="E22" i="6"/>
  <c r="C22" i="6"/>
  <c r="B22" i="6"/>
  <c r="R21" i="6"/>
  <c r="Q21" i="6"/>
  <c r="P21" i="6"/>
  <c r="F21" i="6"/>
  <c r="E21" i="6"/>
  <c r="C21" i="6"/>
  <c r="B21" i="6"/>
  <c r="R20" i="6"/>
  <c r="Q20" i="6"/>
  <c r="P20" i="6"/>
  <c r="F20" i="6"/>
  <c r="E20" i="6"/>
  <c r="C20" i="6"/>
  <c r="B20" i="6"/>
  <c r="R19" i="6"/>
  <c r="Q19" i="6"/>
  <c r="P19" i="6"/>
  <c r="F19" i="6"/>
  <c r="E19" i="6"/>
  <c r="C19" i="6"/>
  <c r="B19" i="6"/>
  <c r="R18" i="6"/>
  <c r="P18" i="6"/>
  <c r="Q18" i="6" s="1"/>
  <c r="F18" i="6"/>
  <c r="E18" i="6"/>
  <c r="C18" i="6"/>
  <c r="B18" i="6"/>
  <c r="R17" i="6"/>
  <c r="P17" i="6"/>
  <c r="Q17" i="6" s="1"/>
  <c r="F17" i="6"/>
  <c r="E17" i="6"/>
  <c r="C17" i="6"/>
  <c r="B17" i="6"/>
  <c r="R16" i="6"/>
  <c r="Q16" i="6"/>
  <c r="P16" i="6"/>
  <c r="F16" i="6"/>
  <c r="E16" i="6"/>
  <c r="C16" i="6"/>
  <c r="B16" i="6"/>
  <c r="R15" i="6"/>
  <c r="P15" i="6"/>
  <c r="Q15" i="6" s="1"/>
  <c r="F15" i="6"/>
  <c r="E15" i="6"/>
  <c r="C15" i="6"/>
  <c r="B15" i="6"/>
  <c r="R14" i="6"/>
  <c r="P14" i="6"/>
  <c r="Q14" i="6" s="1"/>
  <c r="F14" i="6"/>
  <c r="E14" i="6"/>
  <c r="C14" i="6"/>
  <c r="B14" i="6"/>
  <c r="R13" i="6"/>
  <c r="P13" i="6"/>
  <c r="Q13" i="6" s="1"/>
  <c r="F13" i="6"/>
  <c r="E13" i="6"/>
  <c r="C13" i="6"/>
  <c r="B13" i="6"/>
  <c r="R12" i="6"/>
  <c r="P12" i="6"/>
  <c r="Q12" i="6" s="1"/>
  <c r="F12" i="6"/>
  <c r="E12" i="6"/>
  <c r="C12" i="6"/>
  <c r="B12" i="6"/>
  <c r="R11" i="6"/>
  <c r="Q11" i="6"/>
  <c r="P11" i="6"/>
  <c r="F11" i="6"/>
  <c r="E11" i="6"/>
  <c r="C11" i="6"/>
  <c r="B11" i="6"/>
  <c r="R10" i="6"/>
  <c r="Q10" i="6"/>
  <c r="P10" i="6"/>
  <c r="F10" i="6"/>
  <c r="E10" i="6"/>
  <c r="C10" i="6"/>
  <c r="B10" i="6"/>
  <c r="R9" i="6"/>
  <c r="Q9" i="6"/>
  <c r="P9" i="6"/>
  <c r="F9" i="6"/>
  <c r="E9" i="6"/>
  <c r="C9" i="6"/>
  <c r="B9" i="6"/>
  <c r="R8" i="6"/>
  <c r="Q8" i="6"/>
  <c r="P8" i="6"/>
  <c r="F8" i="6"/>
  <c r="E8" i="6"/>
  <c r="C8" i="6"/>
  <c r="B8" i="6"/>
  <c r="R7" i="6"/>
  <c r="Q7" i="6"/>
  <c r="P7" i="6"/>
  <c r="F7" i="6"/>
  <c r="E7" i="6"/>
  <c r="C7" i="6"/>
  <c r="B7" i="6"/>
  <c r="R6" i="6"/>
  <c r="Q6" i="6"/>
  <c r="P6" i="6"/>
  <c r="F6" i="6"/>
  <c r="E6" i="6"/>
  <c r="C6" i="6"/>
  <c r="B6" i="6"/>
  <c r="R5" i="6"/>
  <c r="Q5" i="6"/>
  <c r="P5" i="6"/>
  <c r="F5" i="6"/>
  <c r="E5" i="6"/>
  <c r="C5" i="6"/>
  <c r="B5" i="6"/>
  <c r="R4" i="6"/>
  <c r="Q4" i="6"/>
  <c r="P4" i="6"/>
  <c r="H100" i="3"/>
  <c r="G100" i="3"/>
  <c r="H99" i="3"/>
  <c r="G99" i="3"/>
  <c r="H98" i="3"/>
  <c r="G98" i="3"/>
  <c r="H97" i="3"/>
  <c r="G97" i="3"/>
  <c r="H96" i="3"/>
  <c r="G96" i="3"/>
  <c r="H95" i="3"/>
  <c r="G95" i="3"/>
  <c r="H94" i="3"/>
  <c r="G94" i="3"/>
  <c r="H93" i="3"/>
  <c r="G93" i="3"/>
  <c r="H92" i="3"/>
  <c r="G92" i="3"/>
  <c r="H91" i="3"/>
  <c r="G91" i="3"/>
  <c r="H90" i="3"/>
  <c r="G90" i="3"/>
  <c r="H89" i="3"/>
  <c r="G89" i="3"/>
  <c r="H88" i="3"/>
  <c r="G88" i="3"/>
  <c r="H87" i="3"/>
  <c r="G87" i="3"/>
  <c r="H86" i="3"/>
  <c r="G86" i="3"/>
  <c r="H85" i="3"/>
  <c r="G85" i="3"/>
  <c r="H84" i="3"/>
  <c r="G84" i="3"/>
  <c r="H83" i="3"/>
  <c r="G83" i="3"/>
  <c r="H82" i="3"/>
  <c r="G82" i="3"/>
  <c r="H81" i="3"/>
  <c r="G81" i="3"/>
  <c r="H80" i="3"/>
  <c r="G80" i="3"/>
  <c r="H79" i="3"/>
  <c r="G79" i="3"/>
  <c r="H78" i="3"/>
  <c r="G78" i="3"/>
  <c r="H77" i="3"/>
  <c r="G77" i="3"/>
  <c r="H76" i="3"/>
  <c r="G76" i="3"/>
  <c r="H75" i="3"/>
  <c r="G75" i="3"/>
  <c r="H74" i="3"/>
  <c r="G74" i="3"/>
  <c r="H73" i="3"/>
  <c r="G73" i="3"/>
  <c r="H72" i="3"/>
  <c r="G72" i="3"/>
  <c r="H71" i="3"/>
  <c r="G71" i="3"/>
  <c r="H70" i="3"/>
  <c r="G70" i="3"/>
  <c r="H69" i="3"/>
  <c r="G69" i="3"/>
  <c r="H68" i="3"/>
  <c r="G68" i="3"/>
  <c r="H67" i="3"/>
  <c r="G67" i="3"/>
  <c r="H66" i="3"/>
  <c r="G66" i="3"/>
  <c r="H65" i="3"/>
  <c r="G65" i="3"/>
  <c r="H64" i="3"/>
  <c r="G64" i="3"/>
  <c r="H63" i="3"/>
  <c r="G63" i="3"/>
  <c r="H62" i="3"/>
  <c r="G62" i="3"/>
  <c r="H61" i="3"/>
  <c r="G61" i="3"/>
  <c r="H60" i="3"/>
  <c r="G60" i="3"/>
  <c r="H59" i="3"/>
  <c r="G59" i="3"/>
  <c r="H58" i="3"/>
  <c r="G58" i="3"/>
  <c r="H57" i="3"/>
  <c r="G57" i="3"/>
  <c r="H56" i="3"/>
  <c r="G56" i="3"/>
  <c r="H55" i="3"/>
  <c r="G55" i="3"/>
  <c r="H54" i="3"/>
  <c r="G54" i="3"/>
  <c r="H53" i="3"/>
  <c r="G53" i="3"/>
  <c r="H52" i="3"/>
  <c r="G52" i="3"/>
  <c r="H51" i="3"/>
  <c r="G51" i="3"/>
  <c r="H50" i="3"/>
  <c r="G50" i="3"/>
  <c r="H49" i="3"/>
  <c r="G49" i="3"/>
  <c r="H48" i="3"/>
  <c r="G48" i="3"/>
  <c r="H47" i="3"/>
  <c r="G47" i="3"/>
  <c r="H46" i="3"/>
  <c r="G46" i="3"/>
  <c r="H45" i="3"/>
  <c r="G45" i="3"/>
  <c r="H44" i="3"/>
  <c r="G44" i="3"/>
  <c r="H43" i="3"/>
  <c r="G43" i="3"/>
  <c r="H42" i="3"/>
  <c r="G42" i="3"/>
  <c r="H41" i="3"/>
  <c r="G41" i="3"/>
  <c r="H40" i="3"/>
  <c r="G40" i="3"/>
  <c r="H39" i="3"/>
  <c r="G39" i="3"/>
  <c r="H38" i="3"/>
  <c r="G38" i="3"/>
  <c r="H37" i="3"/>
  <c r="G37" i="3"/>
  <c r="H36" i="3"/>
  <c r="G36" i="3"/>
  <c r="H35" i="3"/>
  <c r="G35" i="3"/>
  <c r="H34" i="3"/>
  <c r="G34" i="3"/>
  <c r="H33" i="3"/>
  <c r="G33" i="3"/>
  <c r="H32" i="3"/>
  <c r="G32" i="3"/>
  <c r="H31" i="3"/>
  <c r="G31" i="3"/>
  <c r="H30" i="3"/>
  <c r="G30" i="3"/>
  <c r="H29" i="3"/>
  <c r="G29" i="3"/>
  <c r="H28" i="3"/>
  <c r="G28" i="3"/>
  <c r="H27" i="3"/>
  <c r="G27" i="3"/>
  <c r="H26" i="3"/>
  <c r="G26" i="3"/>
  <c r="H25" i="3"/>
  <c r="G25" i="3"/>
  <c r="H24" i="3"/>
  <c r="G24" i="3"/>
  <c r="H23" i="3"/>
  <c r="G23" i="3"/>
  <c r="H22" i="3"/>
  <c r="G22" i="3"/>
  <c r="H21" i="3"/>
  <c r="G21" i="3"/>
  <c r="H20" i="3"/>
  <c r="G20" i="3"/>
  <c r="H19" i="3"/>
  <c r="G19" i="3"/>
  <c r="H18" i="3"/>
  <c r="G18" i="3"/>
  <c r="H17" i="3"/>
  <c r="G17" i="3"/>
  <c r="H16" i="3"/>
  <c r="G16" i="3"/>
  <c r="H15" i="3"/>
  <c r="G15" i="3"/>
  <c r="H14" i="3"/>
  <c r="G14" i="3"/>
  <c r="H13" i="3"/>
  <c r="G13" i="3"/>
  <c r="H12" i="3"/>
  <c r="G12" i="3"/>
  <c r="H11" i="3"/>
  <c r="G11" i="3"/>
  <c r="H10" i="3"/>
  <c r="G10" i="3"/>
  <c r="H9" i="3"/>
  <c r="G9" i="3"/>
  <c r="H8" i="3"/>
  <c r="G8" i="3"/>
  <c r="H7" i="3"/>
  <c r="G7" i="3"/>
  <c r="H6" i="3"/>
  <c r="G6" i="3"/>
  <c r="H5" i="3"/>
  <c r="G5" i="3"/>
  <c r="H4" i="3"/>
  <c r="G4" i="3"/>
  <c r="H4" i="7" l="1"/>
  <c r="K4" i="7" s="1"/>
  <c r="J7" i="7"/>
  <c r="I7" i="7"/>
  <c r="H7" i="7"/>
  <c r="K7" i="7" s="1"/>
  <c r="I5" i="7"/>
  <c r="I4" i="7"/>
  <c r="J4" i="7"/>
  <c r="K8" i="7"/>
  <c r="B13" i="8"/>
  <c r="J5" i="7"/>
  <c r="H10" i="7"/>
  <c r="K10" i="7" s="1"/>
  <c r="I10" i="7"/>
  <c r="H6" i="7"/>
  <c r="K6" i="7" s="1"/>
  <c r="I6" i="7"/>
  <c r="J6" i="7"/>
  <c r="H11" i="7"/>
  <c r="K11" i="7" s="1"/>
  <c r="I11" i="7"/>
  <c r="H13" i="7"/>
  <c r="K13" i="7" s="1"/>
  <c r="H15" i="7"/>
  <c r="K15" i="7" s="1"/>
  <c r="H17" i="7"/>
  <c r="K17" i="7" s="1"/>
  <c r="H19" i="7"/>
  <c r="K19" i="7" s="1"/>
  <c r="H21" i="7"/>
  <c r="K21" i="7" s="1"/>
  <c r="H23" i="7"/>
  <c r="K23" i="7" s="1"/>
  <c r="H25" i="7"/>
  <c r="K25" i="7" s="1"/>
  <c r="H27" i="7"/>
  <c r="K27" i="7" s="1"/>
  <c r="H29" i="7"/>
  <c r="K29" i="7" s="1"/>
  <c r="H31" i="7"/>
  <c r="K31" i="7" s="1"/>
  <c r="H33" i="7"/>
  <c r="K33" i="7" s="1"/>
  <c r="H35" i="7"/>
  <c r="K35" i="7" s="1"/>
  <c r="H37" i="7"/>
  <c r="K37" i="7" s="1"/>
  <c r="H39" i="7"/>
  <c r="K39" i="7" s="1"/>
  <c r="H41" i="7"/>
  <c r="K41" i="7" s="1"/>
  <c r="H43" i="7"/>
  <c r="K43" i="7" s="1"/>
  <c r="H45" i="7"/>
  <c r="K45" i="7" s="1"/>
  <c r="H47" i="7"/>
  <c r="K47" i="7" s="1"/>
  <c r="H49" i="7"/>
  <c r="K49" i="7" s="1"/>
  <c r="H51" i="7"/>
  <c r="K51" i="7" s="1"/>
  <c r="H53" i="7"/>
  <c r="K53" i="7" s="1"/>
  <c r="H55" i="7"/>
  <c r="K55" i="7" s="1"/>
  <c r="H57" i="7"/>
  <c r="K57" i="7" s="1"/>
  <c r="H59" i="7"/>
  <c r="K59" i="7" s="1"/>
  <c r="H61" i="7"/>
  <c r="K61" i="7" s="1"/>
  <c r="H63" i="7"/>
  <c r="K63" i="7" s="1"/>
  <c r="H65" i="7"/>
  <c r="K65" i="7" s="1"/>
  <c r="H67" i="7"/>
  <c r="K67" i="7" s="1"/>
  <c r="H69" i="7"/>
  <c r="K69" i="7" s="1"/>
  <c r="H71" i="7"/>
  <c r="K71" i="7" s="1"/>
  <c r="H73" i="7"/>
  <c r="K73" i="7" s="1"/>
  <c r="H75" i="7"/>
  <c r="K75" i="7" s="1"/>
  <c r="H77" i="7"/>
  <c r="K77" i="7" s="1"/>
  <c r="H79" i="7"/>
  <c r="K79" i="7" s="1"/>
  <c r="H81" i="7"/>
  <c r="K81" i="7" s="1"/>
  <c r="H83" i="7"/>
  <c r="K83" i="7" s="1"/>
  <c r="H85" i="7"/>
  <c r="K85" i="7" s="1"/>
  <c r="H87" i="7"/>
  <c r="K87" i="7" s="1"/>
  <c r="H89" i="7"/>
  <c r="K89" i="7" s="1"/>
  <c r="H91" i="7"/>
  <c r="K91" i="7" s="1"/>
  <c r="H93" i="7"/>
  <c r="K93" i="7" s="1"/>
  <c r="H95" i="7"/>
  <c r="K95" i="7" s="1"/>
  <c r="H97" i="7"/>
  <c r="K97" i="7" s="1"/>
  <c r="H99" i="7"/>
  <c r="K99" i="7" s="1"/>
  <c r="J11" i="7"/>
  <c r="I13" i="7"/>
  <c r="I15" i="7"/>
  <c r="I17" i="7"/>
  <c r="I19" i="7"/>
  <c r="I21" i="7"/>
  <c r="I23" i="7"/>
  <c r="I25" i="7"/>
  <c r="I27" i="7"/>
  <c r="I29" i="7"/>
  <c r="I31" i="7"/>
  <c r="I33" i="7"/>
  <c r="I35" i="7"/>
  <c r="I37" i="7"/>
  <c r="I39" i="7"/>
  <c r="I41" i="7"/>
  <c r="I43" i="7"/>
  <c r="I45" i="7"/>
  <c r="I47" i="7"/>
  <c r="I49" i="7"/>
  <c r="I51" i="7"/>
  <c r="I53" i="7"/>
  <c r="I55" i="7"/>
  <c r="I57" i="7"/>
  <c r="I59" i="7"/>
  <c r="I61" i="7"/>
  <c r="I63" i="7"/>
  <c r="I65" i="7"/>
  <c r="I67" i="7"/>
  <c r="I69" i="7"/>
  <c r="I71" i="7"/>
  <c r="I73" i="7"/>
  <c r="I75" i="7"/>
  <c r="I77" i="7"/>
  <c r="I79" i="7"/>
  <c r="I81" i="7"/>
  <c r="I83" i="7"/>
  <c r="I85" i="7"/>
  <c r="I87" i="7"/>
  <c r="I89" i="7"/>
  <c r="I91" i="7"/>
  <c r="I93" i="7"/>
  <c r="I95" i="7"/>
  <c r="I97" i="7"/>
  <c r="I99" i="7"/>
  <c r="I8" i="7"/>
  <c r="J13" i="7"/>
  <c r="J15" i="7"/>
  <c r="J17" i="7"/>
  <c r="J19" i="7"/>
  <c r="J21" i="7"/>
  <c r="J23" i="7"/>
  <c r="J25" i="7"/>
  <c r="J27" i="7"/>
  <c r="J29" i="7"/>
  <c r="J31" i="7"/>
  <c r="J33" i="7"/>
  <c r="J35" i="7"/>
  <c r="J37" i="7"/>
  <c r="J39" i="7"/>
  <c r="J41" i="7"/>
  <c r="J43" i="7"/>
  <c r="J45" i="7"/>
  <c r="J47" i="7"/>
  <c r="J49" i="7"/>
  <c r="J51" i="7"/>
  <c r="J53" i="7"/>
  <c r="J55" i="7"/>
  <c r="J57" i="7"/>
  <c r="J59" i="7"/>
  <c r="J61" i="7"/>
  <c r="J63" i="7"/>
  <c r="J65" i="7"/>
  <c r="J67" i="7"/>
  <c r="J69" i="7"/>
  <c r="J71" i="7"/>
  <c r="J73" i="7"/>
  <c r="J75" i="7"/>
  <c r="J77" i="7"/>
  <c r="J79" i="7"/>
  <c r="J81" i="7"/>
  <c r="J83" i="7"/>
  <c r="J85" i="7"/>
  <c r="J87" i="7"/>
  <c r="J89" i="7"/>
  <c r="J91" i="7"/>
  <c r="J93" i="7"/>
  <c r="J95" i="7"/>
  <c r="J97" i="7"/>
  <c r="J99" i="7"/>
  <c r="H5" i="7"/>
  <c r="K5" i="7" s="1"/>
  <c r="J8" i="7"/>
</calcChain>
</file>

<file path=xl/sharedStrings.xml><?xml version="1.0" encoding="utf-8"?>
<sst xmlns="http://schemas.openxmlformats.org/spreadsheetml/2006/main" count="843" uniqueCount="215">
  <si>
    <t>SISTEMA DE GESTÃO DA RESIDÊNCIA MULTIPROFISSIONAL</t>
  </si>
  <si>
    <t>Modelo profissional em Excel sem macros • banco de dados único + dashboards</t>
  </si>
  <si>
    <t>Módulo</t>
  </si>
  <si>
    <t>Finalidade</t>
  </si>
  <si>
    <t>Como usar</t>
  </si>
  <si>
    <t>Cadastro</t>
  </si>
  <si>
    <t>Registrar residentes</t>
  </si>
  <si>
    <t>Preencha Nome, Profissão, Período, Ano e Situação. A CH é automática.</t>
  </si>
  <si>
    <t>Preceptores</t>
  </si>
  <si>
    <t>Cadastrar preceptores</t>
  </si>
  <si>
    <t>Use estes nomes na lista suspensa da Frequência.</t>
  </si>
  <si>
    <t>Cenários</t>
  </si>
  <si>
    <t>Cadastrar cenários de prática</t>
  </si>
  <si>
    <t>Use estes cenários na lista suspensa da Frequência.</t>
  </si>
  <si>
    <t>Frequencia</t>
  </si>
  <si>
    <t>Registrar ponto e atividades</t>
  </si>
  <si>
    <t>Lance cada ocorrência em uma linha; as horas são calculadas automaticamente.</t>
  </si>
  <si>
    <t>Dashboard</t>
  </si>
  <si>
    <t>Acompanhar indicadores</t>
  </si>
  <si>
    <t>Painel geral da turma e por residente.</t>
  </si>
  <si>
    <t>Relatorio_Individual</t>
  </si>
  <si>
    <t>Resumo individual</t>
  </si>
  <si>
    <t>Escolha o residente no topo e imprima o relatório.</t>
  </si>
  <si>
    <t>Observação: este arquivo foi construído sem macros para evitar bloqueios de segurança do Excel. As fórmulas foram mantidas em padrão nativo do .xlsx; ao abrir no Excel em português, o programa localiza separadores e formatos automaticamente.</t>
  </si>
  <si>
    <t>CONFIGURAÇÕES E LISTAS SUSPENSAS</t>
  </si>
  <si>
    <t>Profissões</t>
  </si>
  <si>
    <t>Período</t>
  </si>
  <si>
    <t>Ano</t>
  </si>
  <si>
    <t>Situação</t>
  </si>
  <si>
    <t>Tipo de registro</t>
  </si>
  <si>
    <t>Mês</t>
  </si>
  <si>
    <t>Parâmetro</t>
  </si>
  <si>
    <t>Valor</t>
  </si>
  <si>
    <t>Enfermagem</t>
  </si>
  <si>
    <t>R1</t>
  </si>
  <si>
    <t>ATIVO</t>
  </si>
  <si>
    <t>Prática</t>
  </si>
  <si>
    <t>Janeiro</t>
  </si>
  <si>
    <t>CH total do programa</t>
  </si>
  <si>
    <t>Farmácia</t>
  </si>
  <si>
    <t>R2</t>
  </si>
  <si>
    <t>INATIVO</t>
  </si>
  <si>
    <t>Teórica</t>
  </si>
  <si>
    <t>Fevereiro</t>
  </si>
  <si>
    <t>CH anual</t>
  </si>
  <si>
    <t>Fisioterapia</t>
  </si>
  <si>
    <t>FÉRIAS</t>
  </si>
  <si>
    <t>Teórico-prática</t>
  </si>
  <si>
    <t>Março</t>
  </si>
  <si>
    <t>CH teórica anual</t>
  </si>
  <si>
    <t>Nutrição</t>
  </si>
  <si>
    <t>LICENÇA</t>
  </si>
  <si>
    <t>Ausência justificada</t>
  </si>
  <si>
    <t>Abril</t>
  </si>
  <si>
    <t>CH prática anual</t>
  </si>
  <si>
    <t>Psicologia</t>
  </si>
  <si>
    <t>AFASTADO</t>
  </si>
  <si>
    <t>Falta</t>
  </si>
  <si>
    <t>Maio</t>
  </si>
  <si>
    <t>CH teórica total</t>
  </si>
  <si>
    <t>Assistente Social</t>
  </si>
  <si>
    <t>TRANCADO</t>
  </si>
  <si>
    <t>Férias</t>
  </si>
  <si>
    <t>Junho</t>
  </si>
  <si>
    <t>CH prática total</t>
  </si>
  <si>
    <t>Fonoaudiologia</t>
  </si>
  <si>
    <t>CONCLUÍDO</t>
  </si>
  <si>
    <t>Licença</t>
  </si>
  <si>
    <t>Julho</t>
  </si>
  <si>
    <t>Odontologia</t>
  </si>
  <si>
    <t>DESLIGADO</t>
  </si>
  <si>
    <t>Agosto</t>
  </si>
  <si>
    <t>Setembro</t>
  </si>
  <si>
    <t>Outubro</t>
  </si>
  <si>
    <t>Novembro</t>
  </si>
  <si>
    <t>Dezembro</t>
  </si>
  <si>
    <t>CADASTRO DOS RESIDENTES</t>
  </si>
  <si>
    <t>Nº</t>
  </si>
  <si>
    <t>Nome</t>
  </si>
  <si>
    <t>Profissão</t>
  </si>
  <si>
    <t>CH Programa</t>
  </si>
  <si>
    <t>CH Anual</t>
  </si>
  <si>
    <t>Observações</t>
  </si>
  <si>
    <t>Daniely Kunrath</t>
  </si>
  <si>
    <t>Betânia Pereira Pardinho</t>
  </si>
  <si>
    <t>Paulo Fernandes Dos Santos</t>
  </si>
  <si>
    <t>Maria Neves Lopes Menezes</t>
  </si>
  <si>
    <t>Benedito Tales Santos Sousa</t>
  </si>
  <si>
    <t>Andrea Raissa Bonfim Medeiros</t>
  </si>
  <si>
    <t>Fabiana Martins Vieira</t>
  </si>
  <si>
    <t>Pamela Daniele De Sousa</t>
  </si>
  <si>
    <t>Marcia Sales Belfort</t>
  </si>
  <si>
    <t>CADASTRO DE PRECEPTORES</t>
  </si>
  <si>
    <t>Cenário principal</t>
  </si>
  <si>
    <t>E-mail</t>
  </si>
  <si>
    <t>Telefone</t>
  </si>
  <si>
    <t>Lidiane</t>
  </si>
  <si>
    <t>UBS</t>
  </si>
  <si>
    <t>eMulti</t>
  </si>
  <si>
    <t>CAPS</t>
  </si>
  <si>
    <t>Gestão</t>
  </si>
  <si>
    <t>CENÁRIOS DE PRÁTICA</t>
  </si>
  <si>
    <t>Cenário</t>
  </si>
  <si>
    <t>Tipo</t>
  </si>
  <si>
    <t>Atenção Primária</t>
  </si>
  <si>
    <t>Atenção Psicossocial</t>
  </si>
  <si>
    <t>Gestão em Saúde</t>
  </si>
  <si>
    <t>Vigilância em Saúde</t>
  </si>
  <si>
    <t>Vigilância</t>
  </si>
  <si>
    <t>Território</t>
  </si>
  <si>
    <t>Escola</t>
  </si>
  <si>
    <t>Intersetorial</t>
  </si>
  <si>
    <t>Comunidade</t>
  </si>
  <si>
    <t>FREQUÊNCIA GERAL DOS RESIDENTES - BANCO DE DADOS ÚNICO</t>
  </si>
  <si>
    <t>Data</t>
  </si>
  <si>
    <t>Residente</t>
  </si>
  <si>
    <t>Preceptor</t>
  </si>
  <si>
    <t>Entrada manhã</t>
  </si>
  <si>
    <t>Saída manhã</t>
  </si>
  <si>
    <t>Entrada tarde</t>
  </si>
  <si>
    <t>Saída tarde</t>
  </si>
  <si>
    <t>Entrada noite</t>
  </si>
  <si>
    <t>Saída noite</t>
  </si>
  <si>
    <t>Horas do dia</t>
  </si>
  <si>
    <t>CH prática</t>
  </si>
  <si>
    <t>CH teórica</t>
  </si>
  <si>
    <t>DASHBOARD DA RESIDÊNCIA MULTIPROFISSIONAL</t>
  </si>
  <si>
    <t>Indicador</t>
  </si>
  <si>
    <t>CH realizada</t>
  </si>
  <si>
    <t>% anual</t>
  </si>
  <si>
    <t>Nº residentes</t>
  </si>
  <si>
    <t>Total de residentes</t>
  </si>
  <si>
    <t>Ativos</t>
  </si>
  <si>
    <t>Meta teórica anual</t>
  </si>
  <si>
    <t>Meta prática anual</t>
  </si>
  <si>
    <t>RELATÓRIO INDIVIDUAL DO RESIDENTE</t>
  </si>
  <si>
    <t>Selecione o residente:</t>
  </si>
  <si>
    <t>CH anual prevista</t>
  </si>
  <si>
    <t>Horas realizadas</t>
  </si>
  <si>
    <t>Horas restantes</t>
  </si>
  <si>
    <t>% anual cumprido</t>
  </si>
  <si>
    <t>07:30</t>
  </si>
  <si>
    <t>12:05</t>
  </si>
  <si>
    <t>11:59</t>
  </si>
  <si>
    <t>17:32</t>
  </si>
  <si>
    <t>12:01</t>
  </si>
  <si>
    <t>06:58</t>
  </si>
  <si>
    <t>12:00</t>
  </si>
  <si>
    <t>17:30</t>
  </si>
  <si>
    <t>06:56</t>
  </si>
  <si>
    <t>17:35</t>
  </si>
  <si>
    <t>21:00</t>
  </si>
  <si>
    <t>17:31</t>
  </si>
  <si>
    <t>17:33</t>
  </si>
  <si>
    <t>06:55</t>
  </si>
  <si>
    <t>12:15</t>
  </si>
  <si>
    <t>17:40</t>
  </si>
  <si>
    <t>18:00</t>
  </si>
  <si>
    <t>13:40</t>
  </si>
  <si>
    <t>07:00</t>
  </si>
  <si>
    <t>07:05</t>
  </si>
  <si>
    <t>12:06</t>
  </si>
  <si>
    <t>13:33</t>
  </si>
  <si>
    <t>17:50</t>
  </si>
  <si>
    <t>12:12</t>
  </si>
  <si>
    <t>13:36</t>
  </si>
  <si>
    <t>07:06</t>
  </si>
  <si>
    <t>13:38</t>
  </si>
  <si>
    <t>13:31</t>
  </si>
  <si>
    <t>07:01</t>
  </si>
  <si>
    <t>17:38</t>
  </si>
  <si>
    <t>12:08</t>
  </si>
  <si>
    <t>12:04</t>
  </si>
  <si>
    <t>13:32</t>
  </si>
  <si>
    <t>18:01</t>
  </si>
  <si>
    <t>20:50</t>
  </si>
  <si>
    <t>07:20</t>
  </si>
  <si>
    <t>07:04</t>
  </si>
  <si>
    <t>12:09</t>
  </si>
  <si>
    <t>07:02</t>
  </si>
  <si>
    <t>07:03</t>
  </si>
  <si>
    <t>06:59</t>
  </si>
  <si>
    <t>06:57</t>
  </si>
  <si>
    <t>12:02</t>
  </si>
  <si>
    <t>13:03</t>
  </si>
  <si>
    <t>13:01</t>
  </si>
  <si>
    <t>17:01</t>
  </si>
  <si>
    <t>11:58</t>
  </si>
  <si>
    <t>12:59</t>
  </si>
  <si>
    <t>12:55</t>
  </si>
  <si>
    <t>16:55</t>
  </si>
  <si>
    <t>11:55</t>
  </si>
  <si>
    <t>13:02</t>
  </si>
  <si>
    <t>13:09</t>
  </si>
  <si>
    <t>16:59</t>
  </si>
  <si>
    <t>19:00</t>
  </si>
  <si>
    <t>17:03</t>
  </si>
  <si>
    <t>16:58</t>
  </si>
  <si>
    <t>12:56</t>
  </si>
  <si>
    <t>16:56</t>
  </si>
  <si>
    <t>12:58</t>
  </si>
  <si>
    <t>eMulti/SAD</t>
  </si>
  <si>
    <t>UBS Central</t>
  </si>
  <si>
    <t>UBS setor 4</t>
  </si>
  <si>
    <t>UBS setor 7</t>
  </si>
  <si>
    <t>UBS setor 8</t>
  </si>
  <si>
    <t>UBS São Gabriel</t>
  </si>
  <si>
    <t>Farmácia Municipal</t>
  </si>
  <si>
    <t>Larissa</t>
  </si>
  <si>
    <t>Daniele</t>
  </si>
  <si>
    <t>Soneli</t>
  </si>
  <si>
    <t>Ana Paula</t>
  </si>
  <si>
    <t>Francielle</t>
  </si>
  <si>
    <t>Elaine</t>
  </si>
  <si>
    <t>Brendo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</si>
</sst>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000"/>
    <numFmt numFmtId="165" formatCode="#,000%"/>
  </numFmts>
  <fonts count="7">
    <font>
      <sz val="11"/>
      <name val="Carlito"/>
    </font>
    <font>
      <b/>
      <sz val="16"/>
      <color rgb="FFFFFFFF"/>
      <name val="Carlito"/>
    </font>
    <font>
      <i/>
      <sz val="11"/>
      <color rgb="FF374151"/>
      <name val="Carlito"/>
    </font>
    <font>
      <b/>
      <sz val="11"/>
      <color rgb="FFFFFFFF"/>
      <name val="Carlito"/>
    </font>
    <font>
      <sz val="11"/>
      <color rgb="FF78350F"/>
      <name val="Carlito"/>
    </font>
    <font>
      <sz val="11"/>
      <name val="Calibri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4F6C"/>
      </patternFill>
    </fill>
    <fill>
      <patternFill patternType="solid">
        <fgColor rgb="FF0F766E"/>
      </patternFill>
    </fill>
    <fill>
      <patternFill patternType="solid">
        <fgColor rgb="FFFEF3C7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3" borderId="0" xfId="0" applyNumberFormat="1" applyFont="1" applyFill="1" applyBorder="1" applyAlignment="1">
      <alignment horizontal="center"/>
    </xf>
    <xf numFmtId="0" fontId="3" fillId="3" borderId="1" xfId="0" applyNumberFormat="1" applyFont="1" applyFill="1" applyBorder="1" applyAlignment="1">
      <alignment horizontal="center"/>
    </xf>
    <xf numFmtId="0" fontId="0" fillId="0" borderId="1" xfId="0" applyNumberFormat="1" applyFont="1" applyFill="1" applyBorder="1" applyAlignment="1">
      <alignment wrapText="1"/>
    </xf>
    <xf numFmtId="0" fontId="3" fillId="3" borderId="0" xfId="0" applyNumberFormat="1" applyFont="1" applyFill="1" applyBorder="1" applyAlignment="1">
      <alignment horizontal="center" wrapText="1"/>
    </xf>
    <xf numFmtId="0" fontId="5" fillId="0" borderId="0" xfId="0" applyNumberFormat="1" applyFont="1" applyFill="1" applyBorder="1"/>
    <xf numFmtId="14" fontId="0" fillId="0" borderId="0" xfId="0" applyNumberFormat="1" applyFont="1" applyFill="1" applyBorder="1"/>
    <xf numFmtId="20" fontId="0" fillId="0" borderId="0" xfId="0" applyNumberFormat="1" applyFont="1" applyFill="1" applyBorder="1"/>
    <xf numFmtId="164" fontId="0" fillId="0" borderId="0" xfId="0" applyNumberFormat="1" applyFont="1" applyFill="1" applyBorder="1"/>
    <xf numFmtId="165" fontId="0" fillId="0" borderId="0" xfId="0" applyNumberFormat="1" applyFont="1" applyFill="1" applyBorder="1"/>
    <xf numFmtId="0" fontId="1" fillId="2" borderId="0" xfId="0" applyNumberFormat="1" applyFont="1" applyFill="1" applyBorder="1" applyAlignment="1">
      <alignment horizontal="center" vertical="center"/>
    </xf>
    <xf numFmtId="0" fontId="0" fillId="0" borderId="0" xfId="0"/>
    <xf numFmtId="0" fontId="2" fillId="0" borderId="0" xfId="0" applyNumberFormat="1" applyFont="1" applyFill="1" applyBorder="1" applyAlignment="1">
      <alignment horizontal="center"/>
    </xf>
    <xf numFmtId="0" fontId="4" fillId="4" borderId="0" xfId="0" applyNumberFormat="1" applyFont="1" applyFill="1" applyBorder="1" applyAlignment="1">
      <alignment vertical="center" wrapText="1"/>
    </xf>
    <xf numFmtId="0" fontId="6" fillId="2" borderId="0" xfId="0" applyNumberFormat="1" applyFont="1" applyFill="1" applyBorder="1" applyAlignment="1">
      <alignment horizontal="center"/>
    </xf>
    <xf numFmtId="0" fontId="5" fillId="0" borderId="0" xfId="0" applyNumberFormat="1" applyFont="1" applyFill="1" applyBorder="1"/>
    <xf numFmtId="14" fontId="0" fillId="0" borderId="2" xfId="0" applyNumberFormat="1" applyBorder="1" applyAlignment="1">
      <alignment horizontal="left"/>
    </xf>
    <xf numFmtId="20" fontId="0" fillId="0" borderId="2" xfId="0" applyNumberFormat="1" applyBorder="1" applyAlignment="1">
      <alignment horizontal="left"/>
    </xf>
    <xf numFmtId="20" fontId="0" fillId="5" borderId="2" xfId="0" applyNumberFormat="1" applyFill="1" applyBorder="1" applyAlignment="1">
      <alignment horizontal="left"/>
    </xf>
    <xf numFmtId="14" fontId="0" fillId="5" borderId="2" xfId="0" applyNumberFormat="1" applyFill="1" applyBorder="1" applyAlignment="1">
      <alignment horizontal="left"/>
    </xf>
    <xf numFmtId="0" fontId="0" fillId="5" borderId="0" xfId="0" applyFill="1"/>
    <xf numFmtId="164" fontId="0" fillId="5" borderId="0" xfId="0" applyNumberFormat="1" applyFont="1" applyFill="1" applyBorder="1"/>
    <xf numFmtId="0" fontId="0" fillId="0" borderId="0" xfId="0" applyAlignment="1">
      <alignment horizontal="left"/>
    </xf>
    <xf numFmtId="20" fontId="0" fillId="0" borderId="0" xfId="0" applyNumberFormat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20" fontId="0" fillId="6" borderId="2" xfId="0" applyNumberFormat="1" applyFill="1" applyBorder="1" applyAlignment="1">
      <alignment horizontal="left"/>
    </xf>
    <xf numFmtId="20" fontId="0" fillId="0" borderId="2" xfId="0" applyNumberFormat="1" applyBorder="1"/>
    <xf numFmtId="20" fontId="0" fillId="5" borderId="2" xfId="0" applyNumberFormat="1" applyFill="1" applyBorder="1"/>
    <xf numFmtId="20" fontId="0" fillId="0" borderId="0" xfId="0" applyNumberFormat="1"/>
    <xf numFmtId="20" fontId="0" fillId="0" borderId="0" xfId="0" applyNumberFormat="1" applyFont="1" applyFill="1" applyBorder="1" applyAlignment="1">
      <alignment horizontal="left"/>
    </xf>
    <xf numFmtId="20" fontId="0" fillId="5" borderId="0" xfId="0" applyNumberFormat="1" applyFont="1" applyFill="1" applyBorder="1" applyAlignment="1">
      <alignment horizontal="left"/>
    </xf>
    <xf numFmtId="20" fontId="0" fillId="5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/>
              <a:t>Horas realizadas por residente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Profissão</c:v>
          </c:tx>
          <c:invertIfNegative val="1"/>
          <c:cat>
            <c:strRef>
              <c:f>Dashboard!$D$4:$D$12</c:f>
              <c:strCache>
                <c:ptCount val="9"/>
                <c:pt idx="0">
                  <c:v>Daniely Kunrath</c:v>
                </c:pt>
                <c:pt idx="1">
                  <c:v>Betânia Pereira Pardinho</c:v>
                </c:pt>
                <c:pt idx="2">
                  <c:v>Paulo Fernandes Dos Santos</c:v>
                </c:pt>
                <c:pt idx="3">
                  <c:v>Maria Neves Lopes Menezes</c:v>
                </c:pt>
                <c:pt idx="4">
                  <c:v>Benedito Tales Santos Sousa</c:v>
                </c:pt>
                <c:pt idx="5">
                  <c:v>Andrea Raissa Bonfim Medeiros</c:v>
                </c:pt>
                <c:pt idx="6">
                  <c:v>Fabiana Martins Vieira</c:v>
                </c:pt>
                <c:pt idx="7">
                  <c:v>Pamela Daniele De Sousa</c:v>
                </c:pt>
                <c:pt idx="8">
                  <c:v>Marcia Sales Belfort</c:v>
                </c:pt>
              </c:strCache>
            </c:strRef>
          </c:cat>
          <c:val>
            <c:numRef>
              <c:f>Dashboard!$E$4:$E$12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12-4636-9CEB-67F3F5F99A9D}"/>
            </c:ext>
          </c:extLst>
        </c:ser>
        <c:ser>
          <c:idx val="1"/>
          <c:order val="1"/>
          <c:tx>
            <c:v>Período</c:v>
          </c:tx>
          <c:invertIfNegative val="1"/>
          <c:cat>
            <c:strRef>
              <c:f>Dashboard!$D$4:$D$12</c:f>
              <c:strCache>
                <c:ptCount val="9"/>
                <c:pt idx="0">
                  <c:v>Daniely Kunrath</c:v>
                </c:pt>
                <c:pt idx="1">
                  <c:v>Betânia Pereira Pardinho</c:v>
                </c:pt>
                <c:pt idx="2">
                  <c:v>Paulo Fernandes Dos Santos</c:v>
                </c:pt>
                <c:pt idx="3">
                  <c:v>Maria Neves Lopes Menezes</c:v>
                </c:pt>
                <c:pt idx="4">
                  <c:v>Benedito Tales Santos Sousa</c:v>
                </c:pt>
                <c:pt idx="5">
                  <c:v>Andrea Raissa Bonfim Medeiros</c:v>
                </c:pt>
                <c:pt idx="6">
                  <c:v>Fabiana Martins Vieira</c:v>
                </c:pt>
                <c:pt idx="7">
                  <c:v>Pamela Daniele De Sousa</c:v>
                </c:pt>
                <c:pt idx="8">
                  <c:v>Marcia Sales Belfort</c:v>
                </c:pt>
              </c:strCache>
            </c:strRef>
          </c:cat>
          <c:val>
            <c:numRef>
              <c:f>Dashboard!$F$4:$F$12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12-4636-9CEB-67F3F5F99A9D}"/>
            </c:ext>
          </c:extLst>
        </c:ser>
        <c:ser>
          <c:idx val="2"/>
          <c:order val="2"/>
          <c:tx>
            <c:v>Situação</c:v>
          </c:tx>
          <c:invertIfNegative val="1"/>
          <c:cat>
            <c:strRef>
              <c:f>Dashboard!$D$4:$D$12</c:f>
              <c:strCache>
                <c:ptCount val="9"/>
                <c:pt idx="0">
                  <c:v>Daniely Kunrath</c:v>
                </c:pt>
                <c:pt idx="1">
                  <c:v>Betânia Pereira Pardinho</c:v>
                </c:pt>
                <c:pt idx="2">
                  <c:v>Paulo Fernandes Dos Santos</c:v>
                </c:pt>
                <c:pt idx="3">
                  <c:v>Maria Neves Lopes Menezes</c:v>
                </c:pt>
                <c:pt idx="4">
                  <c:v>Benedito Tales Santos Sousa</c:v>
                </c:pt>
                <c:pt idx="5">
                  <c:v>Andrea Raissa Bonfim Medeiros</c:v>
                </c:pt>
                <c:pt idx="6">
                  <c:v>Fabiana Martins Vieira</c:v>
                </c:pt>
                <c:pt idx="7">
                  <c:v>Pamela Daniele De Sousa</c:v>
                </c:pt>
                <c:pt idx="8">
                  <c:v>Marcia Sales Belfort</c:v>
                </c:pt>
              </c:strCache>
            </c:strRef>
          </c:cat>
          <c:val>
            <c:numRef>
              <c:f>Dashboard!$G$4:$G$12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12-4636-9CEB-67F3F5F99A9D}"/>
            </c:ext>
          </c:extLst>
        </c:ser>
        <c:ser>
          <c:idx val="3"/>
          <c:order val="3"/>
          <c:tx>
            <c:v>CH realizada</c:v>
          </c:tx>
          <c:invertIfNegative val="1"/>
          <c:cat>
            <c:strRef>
              <c:f>Dashboard!$D$4:$D$12</c:f>
              <c:strCache>
                <c:ptCount val="9"/>
                <c:pt idx="0">
                  <c:v>Daniely Kunrath</c:v>
                </c:pt>
                <c:pt idx="1">
                  <c:v>Betânia Pereira Pardinho</c:v>
                </c:pt>
                <c:pt idx="2">
                  <c:v>Paulo Fernandes Dos Santos</c:v>
                </c:pt>
                <c:pt idx="3">
                  <c:v>Maria Neves Lopes Menezes</c:v>
                </c:pt>
                <c:pt idx="4">
                  <c:v>Benedito Tales Santos Sousa</c:v>
                </c:pt>
                <c:pt idx="5">
                  <c:v>Andrea Raissa Bonfim Medeiros</c:v>
                </c:pt>
                <c:pt idx="6">
                  <c:v>Fabiana Martins Vieira</c:v>
                </c:pt>
                <c:pt idx="7">
                  <c:v>Pamela Daniele De Sousa</c:v>
                </c:pt>
                <c:pt idx="8">
                  <c:v>Marcia Sales Belfort</c:v>
                </c:pt>
              </c:strCache>
            </c:strRef>
          </c:cat>
          <c:val>
            <c:numRef>
              <c:f>Dashboard!$H$4:$H$12</c:f>
              <c:numCache>
                <c:formatCode>#,000</c:formatCode>
                <c:ptCount val="9"/>
                <c:pt idx="0">
                  <c:v>161.65</c:v>
                </c:pt>
                <c:pt idx="1">
                  <c:v>156.48333333333332</c:v>
                </c:pt>
                <c:pt idx="2">
                  <c:v>134.20000000000002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812-4636-9CEB-67F3F5F99A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/>
              <a:t>Residentes por profissão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Nº residentes</c:v>
          </c:tx>
          <c:invertIfNegative val="1"/>
          <c:cat>
            <c:strRef>
              <c:f>Dashboard!$M$4:$M$11</c:f>
              <c:strCache>
                <c:ptCount val="8"/>
                <c:pt idx="0">
                  <c:v>Enfermagem</c:v>
                </c:pt>
                <c:pt idx="1">
                  <c:v>Farmácia</c:v>
                </c:pt>
                <c:pt idx="2">
                  <c:v>Fisioterapia</c:v>
                </c:pt>
                <c:pt idx="3">
                  <c:v>Nutrição</c:v>
                </c:pt>
                <c:pt idx="4">
                  <c:v>Psicologia</c:v>
                </c:pt>
                <c:pt idx="5">
                  <c:v>Assistente Social</c:v>
                </c:pt>
                <c:pt idx="6">
                  <c:v>Fonoaudiologia</c:v>
                </c:pt>
                <c:pt idx="7">
                  <c:v>Odontologia</c:v>
                </c:pt>
              </c:strCache>
            </c:strRef>
          </c:cat>
          <c:val>
            <c:numRef>
              <c:f>Dashboard!$N$4:$N$11</c:f>
              <c:numCache>
                <c:formatCode>General</c:formatCode>
                <c:ptCount val="8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57-42BE-AB6C-1296CB0244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0</xdr:rowOff>
    </xdr:from>
    <xdr:to>
      <xdr:col>7</xdr:col>
      <xdr:colOff>0</xdr:colOff>
      <xdr:row>30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13</xdr:row>
      <xdr:rowOff>0</xdr:rowOff>
    </xdr:from>
    <xdr:to>
      <xdr:col>14</xdr:col>
      <xdr:colOff>0</xdr:colOff>
      <xdr:row>30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uliana.souza\Documents\RESID&#202;NCIA%20MULTIPROFISSIONAL\sistema_gestao_residencia_frequ&#234;ncia.xlsx" TargetMode="External"/><Relationship Id="rId1" Type="http://schemas.openxmlformats.org/officeDocument/2006/relationships/externalLinkPath" Target="sistema_gestao_residencia_frequ&#234;nc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me"/>
      <sheetName val="Configurações"/>
      <sheetName val="Cadastro"/>
      <sheetName val="Preceptores"/>
      <sheetName val="Cenários"/>
      <sheetName val="Frequencia"/>
      <sheetName val="Importação Março 2026"/>
      <sheetName val="Dashboard"/>
      <sheetName val="Relatorio_Individual"/>
    </sheetNames>
    <sheetDataSet>
      <sheetData sheetId="0"/>
      <sheetData sheetId="1"/>
      <sheetData sheetId="2">
        <row r="4">
          <cell r="B4" t="str">
            <v>Daniely Kunrath</v>
          </cell>
          <cell r="C4" t="str">
            <v>Enfermagem</v>
          </cell>
          <cell r="D4" t="str">
            <v>R1</v>
          </cell>
          <cell r="E4">
            <v>2026</v>
          </cell>
          <cell r="F4" t="str">
            <v>ATIVO</v>
          </cell>
          <cell r="G4">
            <v>5760</v>
          </cell>
          <cell r="H4">
            <v>2880</v>
          </cell>
        </row>
        <row r="5">
          <cell r="B5" t="str">
            <v>Betânia Pereira Pardinho</v>
          </cell>
          <cell r="C5" t="str">
            <v>Enfermagem</v>
          </cell>
          <cell r="D5" t="str">
            <v>R1</v>
          </cell>
          <cell r="E5">
            <v>2026</v>
          </cell>
          <cell r="F5" t="str">
            <v>ATIVO</v>
          </cell>
          <cell r="G5">
            <v>5760</v>
          </cell>
          <cell r="H5">
            <v>2880</v>
          </cell>
        </row>
        <row r="6">
          <cell r="B6" t="str">
            <v>Paulo Fernandes Dos Santos</v>
          </cell>
          <cell r="C6" t="str">
            <v>Farmácia</v>
          </cell>
          <cell r="D6" t="str">
            <v>R1</v>
          </cell>
          <cell r="E6">
            <v>2026</v>
          </cell>
          <cell r="F6" t="str">
            <v>ATIVO</v>
          </cell>
          <cell r="G6">
            <v>5760</v>
          </cell>
          <cell r="H6">
            <v>2880</v>
          </cell>
        </row>
        <row r="7">
          <cell r="B7" t="str">
            <v>Maria Neves Lopes Menezes</v>
          </cell>
          <cell r="C7" t="str">
            <v>Fisioterapia</v>
          </cell>
          <cell r="D7" t="str">
            <v>R1</v>
          </cell>
          <cell r="E7">
            <v>2026</v>
          </cell>
          <cell r="F7" t="str">
            <v>ATIVO</v>
          </cell>
          <cell r="G7">
            <v>5760</v>
          </cell>
          <cell r="H7">
            <v>2880</v>
          </cell>
        </row>
        <row r="8">
          <cell r="B8" t="str">
            <v>Benedito Tales Santos Sousa</v>
          </cell>
          <cell r="C8" t="str">
            <v>Nutrição</v>
          </cell>
          <cell r="D8" t="str">
            <v>R1</v>
          </cell>
          <cell r="E8">
            <v>2026</v>
          </cell>
          <cell r="F8" t="str">
            <v>ATIVO</v>
          </cell>
          <cell r="G8">
            <v>5760</v>
          </cell>
          <cell r="H8">
            <v>2880</v>
          </cell>
        </row>
        <row r="9">
          <cell r="B9" t="str">
            <v>Andrea Raissa Bonfim Medeiros</v>
          </cell>
          <cell r="C9" t="str">
            <v>Odontologia</v>
          </cell>
          <cell r="D9" t="str">
            <v>R1</v>
          </cell>
          <cell r="E9">
            <v>2026</v>
          </cell>
          <cell r="F9" t="str">
            <v>ATIVO</v>
          </cell>
          <cell r="G9">
            <v>5760</v>
          </cell>
          <cell r="H9">
            <v>2880</v>
          </cell>
        </row>
        <row r="10">
          <cell r="B10" t="str">
            <v>Fabiana Martins Vieira</v>
          </cell>
          <cell r="C10" t="str">
            <v>Odontologia</v>
          </cell>
          <cell r="D10" t="str">
            <v>R1</v>
          </cell>
          <cell r="E10">
            <v>2026</v>
          </cell>
          <cell r="F10" t="str">
            <v>ATIVO</v>
          </cell>
          <cell r="G10">
            <v>5760</v>
          </cell>
          <cell r="H10">
            <v>2880</v>
          </cell>
        </row>
        <row r="11">
          <cell r="B11" t="str">
            <v>Pamela Daniele De Sousa</v>
          </cell>
          <cell r="C11" t="str">
            <v>Psicologia</v>
          </cell>
          <cell r="D11" t="str">
            <v>R1</v>
          </cell>
          <cell r="E11">
            <v>2026</v>
          </cell>
          <cell r="F11" t="str">
            <v>ATIVO</v>
          </cell>
          <cell r="G11">
            <v>5760</v>
          </cell>
          <cell r="H11">
            <v>2880</v>
          </cell>
        </row>
        <row r="12">
          <cell r="B12" t="str">
            <v>Marcia Sales Belfort</v>
          </cell>
          <cell r="C12" t="str">
            <v>Assistente Social</v>
          </cell>
          <cell r="D12" t="str">
            <v>R1</v>
          </cell>
          <cell r="E12">
            <v>2026</v>
          </cell>
          <cell r="F12" t="str">
            <v>ATIVO</v>
          </cell>
          <cell r="G12">
            <v>5760</v>
          </cell>
          <cell r="H12">
            <v>2880</v>
          </cell>
        </row>
        <row r="13">
          <cell r="G13">
            <v>5760</v>
          </cell>
          <cell r="H13">
            <v>2880</v>
          </cell>
        </row>
        <row r="14">
          <cell r="G14">
            <v>5760</v>
          </cell>
          <cell r="H14">
            <v>2880</v>
          </cell>
        </row>
        <row r="15">
          <cell r="G15">
            <v>5760</v>
          </cell>
          <cell r="H15">
            <v>2880</v>
          </cell>
        </row>
        <row r="16">
          <cell r="G16">
            <v>5760</v>
          </cell>
          <cell r="H16">
            <v>2880</v>
          </cell>
        </row>
        <row r="17">
          <cell r="G17">
            <v>5760</v>
          </cell>
          <cell r="H17">
            <v>2880</v>
          </cell>
        </row>
        <row r="18">
          <cell r="G18">
            <v>5760</v>
          </cell>
          <cell r="H18">
            <v>2880</v>
          </cell>
        </row>
        <row r="19">
          <cell r="G19">
            <v>5760</v>
          </cell>
          <cell r="H19">
            <v>2880</v>
          </cell>
        </row>
        <row r="20">
          <cell r="G20">
            <v>5760</v>
          </cell>
          <cell r="H20">
            <v>2880</v>
          </cell>
        </row>
        <row r="21">
          <cell r="G21">
            <v>5760</v>
          </cell>
          <cell r="H21">
            <v>2880</v>
          </cell>
        </row>
        <row r="22">
          <cell r="G22">
            <v>5760</v>
          </cell>
          <cell r="H22">
            <v>2880</v>
          </cell>
        </row>
        <row r="23">
          <cell r="G23">
            <v>5760</v>
          </cell>
          <cell r="H23">
            <v>2880</v>
          </cell>
        </row>
        <row r="24">
          <cell r="G24">
            <v>5760</v>
          </cell>
          <cell r="H24">
            <v>2880</v>
          </cell>
        </row>
        <row r="25">
          <cell r="G25">
            <v>5760</v>
          </cell>
          <cell r="H25">
            <v>2880</v>
          </cell>
        </row>
        <row r="26">
          <cell r="G26">
            <v>5760</v>
          </cell>
          <cell r="H26">
            <v>2880</v>
          </cell>
        </row>
        <row r="27">
          <cell r="G27">
            <v>5760</v>
          </cell>
          <cell r="H27">
            <v>2880</v>
          </cell>
        </row>
        <row r="28">
          <cell r="G28">
            <v>5760</v>
          </cell>
          <cell r="H28">
            <v>2880</v>
          </cell>
        </row>
        <row r="29">
          <cell r="G29">
            <v>5760</v>
          </cell>
          <cell r="H29">
            <v>2880</v>
          </cell>
        </row>
        <row r="30">
          <cell r="G30">
            <v>5760</v>
          </cell>
          <cell r="H30">
            <v>2880</v>
          </cell>
        </row>
        <row r="31">
          <cell r="G31">
            <v>5760</v>
          </cell>
          <cell r="H31">
            <v>2880</v>
          </cell>
        </row>
        <row r="32">
          <cell r="G32">
            <v>5760</v>
          </cell>
          <cell r="H32">
            <v>2880</v>
          </cell>
        </row>
        <row r="33">
          <cell r="G33">
            <v>5760</v>
          </cell>
          <cell r="H33">
            <v>2880</v>
          </cell>
        </row>
        <row r="34">
          <cell r="G34">
            <v>5760</v>
          </cell>
          <cell r="H34">
            <v>2880</v>
          </cell>
        </row>
        <row r="35">
          <cell r="G35">
            <v>5760</v>
          </cell>
          <cell r="H35">
            <v>2880</v>
          </cell>
        </row>
        <row r="36">
          <cell r="G36">
            <v>5760</v>
          </cell>
          <cell r="H36">
            <v>2880</v>
          </cell>
        </row>
        <row r="37">
          <cell r="G37">
            <v>5760</v>
          </cell>
          <cell r="H37">
            <v>2880</v>
          </cell>
        </row>
        <row r="38">
          <cell r="G38">
            <v>5760</v>
          </cell>
          <cell r="H38">
            <v>2880</v>
          </cell>
        </row>
        <row r="39">
          <cell r="G39">
            <v>5760</v>
          </cell>
          <cell r="H39">
            <v>2880</v>
          </cell>
        </row>
        <row r="40">
          <cell r="G40">
            <v>5760</v>
          </cell>
          <cell r="H40">
            <v>2880</v>
          </cell>
        </row>
        <row r="41">
          <cell r="G41">
            <v>5760</v>
          </cell>
          <cell r="H41">
            <v>2880</v>
          </cell>
        </row>
        <row r="42">
          <cell r="G42">
            <v>5760</v>
          </cell>
          <cell r="H42">
            <v>2880</v>
          </cell>
        </row>
        <row r="43">
          <cell r="G43">
            <v>5760</v>
          </cell>
          <cell r="H43">
            <v>2880</v>
          </cell>
        </row>
        <row r="44">
          <cell r="G44">
            <v>5760</v>
          </cell>
          <cell r="H44">
            <v>2880</v>
          </cell>
        </row>
        <row r="45">
          <cell r="G45">
            <v>5760</v>
          </cell>
          <cell r="H45">
            <v>2880</v>
          </cell>
        </row>
        <row r="46">
          <cell r="G46">
            <v>5760</v>
          </cell>
          <cell r="H46">
            <v>2880</v>
          </cell>
        </row>
        <row r="47">
          <cell r="G47">
            <v>5760</v>
          </cell>
          <cell r="H47">
            <v>2880</v>
          </cell>
        </row>
        <row r="48">
          <cell r="G48">
            <v>5760</v>
          </cell>
          <cell r="H48">
            <v>2880</v>
          </cell>
        </row>
        <row r="49">
          <cell r="G49">
            <v>5760</v>
          </cell>
          <cell r="H49">
            <v>2880</v>
          </cell>
        </row>
        <row r="50">
          <cell r="G50">
            <v>5760</v>
          </cell>
          <cell r="H50">
            <v>2880</v>
          </cell>
        </row>
        <row r="51">
          <cell r="G51">
            <v>5760</v>
          </cell>
          <cell r="H51">
            <v>2880</v>
          </cell>
        </row>
        <row r="52">
          <cell r="G52">
            <v>5760</v>
          </cell>
          <cell r="H52">
            <v>2880</v>
          </cell>
        </row>
        <row r="53">
          <cell r="G53">
            <v>5760</v>
          </cell>
          <cell r="H53">
            <v>2880</v>
          </cell>
        </row>
        <row r="54">
          <cell r="G54">
            <v>5760</v>
          </cell>
          <cell r="H54">
            <v>2880</v>
          </cell>
        </row>
        <row r="55">
          <cell r="G55">
            <v>5760</v>
          </cell>
          <cell r="H55">
            <v>2880</v>
          </cell>
        </row>
        <row r="56">
          <cell r="G56">
            <v>5760</v>
          </cell>
          <cell r="H56">
            <v>2880</v>
          </cell>
        </row>
        <row r="57">
          <cell r="G57">
            <v>5760</v>
          </cell>
          <cell r="H57">
            <v>2880</v>
          </cell>
        </row>
        <row r="58">
          <cell r="G58">
            <v>5760</v>
          </cell>
          <cell r="H58">
            <v>2880</v>
          </cell>
        </row>
        <row r="59">
          <cell r="G59">
            <v>5760</v>
          </cell>
          <cell r="H59">
            <v>2880</v>
          </cell>
        </row>
        <row r="60">
          <cell r="G60">
            <v>5760</v>
          </cell>
          <cell r="H60">
            <v>2880</v>
          </cell>
        </row>
        <row r="61">
          <cell r="G61">
            <v>5760</v>
          </cell>
          <cell r="H61">
            <v>2880</v>
          </cell>
        </row>
        <row r="62">
          <cell r="G62">
            <v>5760</v>
          </cell>
          <cell r="H62">
            <v>2880</v>
          </cell>
        </row>
        <row r="63">
          <cell r="G63">
            <v>5760</v>
          </cell>
          <cell r="H63">
            <v>2880</v>
          </cell>
        </row>
        <row r="64">
          <cell r="G64">
            <v>5760</v>
          </cell>
          <cell r="H64">
            <v>2880</v>
          </cell>
        </row>
        <row r="65">
          <cell r="G65">
            <v>5760</v>
          </cell>
          <cell r="H65">
            <v>2880</v>
          </cell>
        </row>
        <row r="66">
          <cell r="G66">
            <v>5760</v>
          </cell>
          <cell r="H66">
            <v>2880</v>
          </cell>
        </row>
        <row r="67">
          <cell r="G67">
            <v>5760</v>
          </cell>
          <cell r="H67">
            <v>2880</v>
          </cell>
        </row>
        <row r="68">
          <cell r="G68">
            <v>5760</v>
          </cell>
          <cell r="H68">
            <v>2880</v>
          </cell>
        </row>
        <row r="69">
          <cell r="G69">
            <v>5760</v>
          </cell>
          <cell r="H69">
            <v>2880</v>
          </cell>
        </row>
        <row r="70">
          <cell r="G70">
            <v>5760</v>
          </cell>
          <cell r="H70">
            <v>2880</v>
          </cell>
        </row>
        <row r="71">
          <cell r="G71">
            <v>5760</v>
          </cell>
          <cell r="H71">
            <v>2880</v>
          </cell>
        </row>
        <row r="72">
          <cell r="G72">
            <v>5760</v>
          </cell>
          <cell r="H72">
            <v>2880</v>
          </cell>
        </row>
        <row r="73">
          <cell r="G73">
            <v>5760</v>
          </cell>
          <cell r="H73">
            <v>2880</v>
          </cell>
        </row>
        <row r="74">
          <cell r="G74">
            <v>5760</v>
          </cell>
          <cell r="H74">
            <v>2880</v>
          </cell>
        </row>
        <row r="75">
          <cell r="G75">
            <v>5760</v>
          </cell>
          <cell r="H75">
            <v>2880</v>
          </cell>
        </row>
        <row r="76">
          <cell r="G76">
            <v>5760</v>
          </cell>
          <cell r="H76">
            <v>2880</v>
          </cell>
        </row>
        <row r="77">
          <cell r="G77">
            <v>5760</v>
          </cell>
          <cell r="H77">
            <v>2880</v>
          </cell>
        </row>
        <row r="78">
          <cell r="G78">
            <v>5760</v>
          </cell>
          <cell r="H78">
            <v>2880</v>
          </cell>
        </row>
        <row r="79">
          <cell r="G79">
            <v>5760</v>
          </cell>
          <cell r="H79">
            <v>2880</v>
          </cell>
        </row>
        <row r="80">
          <cell r="G80">
            <v>5760</v>
          </cell>
          <cell r="H80">
            <v>2880</v>
          </cell>
        </row>
        <row r="81">
          <cell r="G81">
            <v>5760</v>
          </cell>
          <cell r="H81">
            <v>2880</v>
          </cell>
        </row>
        <row r="82">
          <cell r="G82">
            <v>5760</v>
          </cell>
          <cell r="H82">
            <v>2880</v>
          </cell>
        </row>
        <row r="83">
          <cell r="G83">
            <v>5760</v>
          </cell>
          <cell r="H83">
            <v>2880</v>
          </cell>
        </row>
        <row r="84">
          <cell r="G84">
            <v>5760</v>
          </cell>
          <cell r="H84">
            <v>2880</v>
          </cell>
        </row>
        <row r="85">
          <cell r="G85">
            <v>5760</v>
          </cell>
          <cell r="H85">
            <v>2880</v>
          </cell>
        </row>
        <row r="86">
          <cell r="G86">
            <v>5760</v>
          </cell>
          <cell r="H86">
            <v>2880</v>
          </cell>
        </row>
        <row r="87">
          <cell r="G87">
            <v>5760</v>
          </cell>
          <cell r="H87">
            <v>2880</v>
          </cell>
        </row>
        <row r="88">
          <cell r="G88">
            <v>5760</v>
          </cell>
          <cell r="H88">
            <v>2880</v>
          </cell>
        </row>
        <row r="89">
          <cell r="G89">
            <v>5760</v>
          </cell>
          <cell r="H89">
            <v>2880</v>
          </cell>
        </row>
        <row r="90">
          <cell r="G90">
            <v>5760</v>
          </cell>
          <cell r="H90">
            <v>2880</v>
          </cell>
        </row>
        <row r="91">
          <cell r="G91">
            <v>5760</v>
          </cell>
          <cell r="H91">
            <v>2880</v>
          </cell>
        </row>
        <row r="92">
          <cell r="G92">
            <v>5760</v>
          </cell>
          <cell r="H92">
            <v>2880</v>
          </cell>
        </row>
        <row r="93">
          <cell r="G93">
            <v>5760</v>
          </cell>
          <cell r="H93">
            <v>2880</v>
          </cell>
        </row>
        <row r="94">
          <cell r="G94">
            <v>5760</v>
          </cell>
          <cell r="H94">
            <v>2880</v>
          </cell>
        </row>
        <row r="95">
          <cell r="G95">
            <v>5760</v>
          </cell>
          <cell r="H95">
            <v>2880</v>
          </cell>
        </row>
        <row r="96">
          <cell r="G96">
            <v>5760</v>
          </cell>
          <cell r="H96">
            <v>2880</v>
          </cell>
        </row>
        <row r="97">
          <cell r="G97">
            <v>5760</v>
          </cell>
          <cell r="H97">
            <v>2880</v>
          </cell>
        </row>
        <row r="98">
          <cell r="G98">
            <v>5760</v>
          </cell>
          <cell r="H98">
            <v>2880</v>
          </cell>
        </row>
        <row r="99">
          <cell r="G99">
            <v>5760</v>
          </cell>
          <cell r="H99">
            <v>2880</v>
          </cell>
        </row>
        <row r="100">
          <cell r="G100">
            <v>5760</v>
          </cell>
          <cell r="H100">
            <v>2880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Cadastro" displayName="TabelaCadastro" ref="A3:I100">
  <tableColumns count="9">
    <tableColumn id="1" xr3:uid="{00000000-0010-0000-0000-000001000000}" name="Nº"/>
    <tableColumn id="2" xr3:uid="{00000000-0010-0000-0000-000002000000}" name="Nome"/>
    <tableColumn id="3" xr3:uid="{00000000-0010-0000-0000-000003000000}" name="Profissão"/>
    <tableColumn id="4" xr3:uid="{00000000-0010-0000-0000-000004000000}" name="Período"/>
    <tableColumn id="5" xr3:uid="{00000000-0010-0000-0000-000005000000}" name="Ano"/>
    <tableColumn id="6" xr3:uid="{00000000-0010-0000-0000-000006000000}" name="Situação"/>
    <tableColumn id="7" xr3:uid="{00000000-0010-0000-0000-000007000000}" name="CH Programa"/>
    <tableColumn id="8" xr3:uid="{00000000-0010-0000-0000-000008000000}" name="CH Anual"/>
    <tableColumn id="9" xr3:uid="{00000000-0010-0000-0000-000009000000}" name="Observaçõ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elaPreceptores" displayName="TabelaPreceptores" ref="A3:E100">
  <tableColumns count="5">
    <tableColumn id="1" xr3:uid="{00000000-0010-0000-0100-000001000000}" name="Nome"/>
    <tableColumn id="2" xr3:uid="{00000000-0010-0000-0100-000002000000}" name="Profissão"/>
    <tableColumn id="3" xr3:uid="{00000000-0010-0000-0100-000003000000}" name="Cenário principal"/>
    <tableColumn id="4" xr3:uid="{00000000-0010-0000-0100-000004000000}" name="E-mail"/>
    <tableColumn id="5" xr3:uid="{00000000-0010-0000-0100-000005000000}" name="Telefon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elaCenarios" displayName="TabelaCenarios" ref="A3:C100">
  <tableColumns count="3">
    <tableColumn id="1" xr3:uid="{00000000-0010-0000-0200-000001000000}" name="Cenário"/>
    <tableColumn id="2" xr3:uid="{00000000-0010-0000-0200-000002000000}" name="Tipo"/>
    <tableColumn id="3" xr3:uid="{00000000-0010-0000-0200-000003000000}" name="Observaçõ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TabelaFrequencia" displayName="TabelaFrequencia" ref="A3:R1003">
  <tableColumns count="18">
    <tableColumn id="1" xr3:uid="{00000000-0010-0000-0300-000001000000}" name="Data"/>
    <tableColumn id="2" xr3:uid="{00000000-0010-0000-0300-000002000000}" name="Ano"/>
    <tableColumn id="3" xr3:uid="{00000000-0010-0000-0300-000003000000}" name="Mês"/>
    <tableColumn id="4" xr3:uid="{00000000-0010-0000-0300-000004000000}" name="Residente"/>
    <tableColumn id="5" xr3:uid="{00000000-0010-0000-0300-000005000000}" name="Profissão"/>
    <tableColumn id="6" xr3:uid="{00000000-0010-0000-0300-000006000000}" name="Período"/>
    <tableColumn id="7" xr3:uid="{00000000-0010-0000-0300-000007000000}" name="Cenário"/>
    <tableColumn id="8" xr3:uid="{00000000-0010-0000-0300-000008000000}" name="Preceptor"/>
    <tableColumn id="9" xr3:uid="{00000000-0010-0000-0300-000009000000}" name="Tipo"/>
    <tableColumn id="10" xr3:uid="{00000000-0010-0000-0300-00000A000000}" name="Entrada manhã"/>
    <tableColumn id="11" xr3:uid="{00000000-0010-0000-0300-00000B000000}" name="Saída manhã"/>
    <tableColumn id="12" xr3:uid="{00000000-0010-0000-0300-00000C000000}" name="Entrada tarde"/>
    <tableColumn id="13" xr3:uid="{00000000-0010-0000-0300-00000D000000}" name="Saída tarde"/>
    <tableColumn id="14" xr3:uid="{00000000-0010-0000-0300-00000E000000}" name="Entrada noite"/>
    <tableColumn id="15" xr3:uid="{00000000-0010-0000-0300-00000F000000}" name="Saída noite"/>
    <tableColumn id="16" xr3:uid="{00000000-0010-0000-0300-000010000000}" name="Horas do dia"/>
    <tableColumn id="17" xr3:uid="{00000000-0010-0000-0300-000011000000}" name="CH prática"/>
    <tableColumn id="18" xr3:uid="{00000000-0010-0000-0300-000012000000}" name="CH teóric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7"/>
  <sheetViews>
    <sheetView workbookViewId="0">
      <selection activeCell="B1" sqref="B1"/>
    </sheetView>
  </sheetViews>
  <sheetFormatPr defaultRowHeight="14.25"/>
  <cols>
    <col min="2" max="2" width="16.875" customWidth="1"/>
    <col min="3" max="3" width="22.125" customWidth="1"/>
    <col min="4" max="4" width="59.75" customWidth="1"/>
  </cols>
  <sheetData>
    <row r="1" spans="1:26" ht="1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32.1" customHeight="1">
      <c r="B2" s="10" t="s">
        <v>0</v>
      </c>
      <c r="C2" s="11"/>
      <c r="D2" s="11"/>
      <c r="E2" s="11"/>
      <c r="F2" s="11"/>
      <c r="G2" s="11"/>
      <c r="H2" s="11"/>
      <c r="I2" s="11"/>
      <c r="J2" s="11"/>
    </row>
    <row r="4" spans="1:26">
      <c r="B4" s="12" t="s">
        <v>1</v>
      </c>
      <c r="C4" s="11"/>
      <c r="D4" s="11"/>
      <c r="E4" s="11"/>
      <c r="F4" s="11"/>
      <c r="G4" s="11"/>
      <c r="H4" s="11"/>
      <c r="I4" s="11"/>
      <c r="J4" s="11"/>
    </row>
    <row r="6" spans="1:26" ht="15">
      <c r="B6" s="2" t="s">
        <v>2</v>
      </c>
      <c r="C6" s="2" t="s">
        <v>3</v>
      </c>
      <c r="D6" s="2" t="s">
        <v>4</v>
      </c>
    </row>
    <row r="7" spans="1:26" ht="28.5">
      <c r="B7" s="3" t="s">
        <v>5</v>
      </c>
      <c r="C7" s="3" t="s">
        <v>6</v>
      </c>
      <c r="D7" s="3" t="s">
        <v>7</v>
      </c>
    </row>
    <row r="8" spans="1:26">
      <c r="B8" s="3" t="s">
        <v>8</v>
      </c>
      <c r="C8" s="3" t="s">
        <v>9</v>
      </c>
      <c r="D8" s="3" t="s">
        <v>10</v>
      </c>
    </row>
    <row r="9" spans="1:26" ht="28.5">
      <c r="B9" s="3" t="s">
        <v>11</v>
      </c>
      <c r="C9" s="3" t="s">
        <v>12</v>
      </c>
      <c r="D9" s="3" t="s">
        <v>13</v>
      </c>
    </row>
    <row r="10" spans="1:26" ht="28.5">
      <c r="B10" s="3" t="s">
        <v>14</v>
      </c>
      <c r="C10" s="3" t="s">
        <v>15</v>
      </c>
      <c r="D10" s="3" t="s">
        <v>16</v>
      </c>
    </row>
    <row r="11" spans="1:26">
      <c r="B11" s="3" t="s">
        <v>17</v>
      </c>
      <c r="C11" s="3" t="s">
        <v>18</v>
      </c>
      <c r="D11" s="3" t="s">
        <v>19</v>
      </c>
    </row>
    <row r="12" spans="1:26">
      <c r="B12" s="3" t="s">
        <v>20</v>
      </c>
      <c r="C12" s="3" t="s">
        <v>21</v>
      </c>
      <c r="D12" s="3" t="s">
        <v>22</v>
      </c>
    </row>
    <row r="14" spans="1:26">
      <c r="B14" s="13" t="s">
        <v>23</v>
      </c>
      <c r="C14" s="11"/>
      <c r="D14" s="11"/>
      <c r="E14" s="11"/>
      <c r="F14" s="11"/>
      <c r="G14" s="11"/>
      <c r="H14" s="11"/>
      <c r="I14" s="11"/>
      <c r="J14" s="11"/>
    </row>
    <row r="15" spans="1:26">
      <c r="B15" s="11"/>
      <c r="C15" s="11"/>
      <c r="D15" s="11"/>
      <c r="E15" s="11"/>
      <c r="F15" s="11"/>
      <c r="G15" s="11"/>
      <c r="H15" s="11"/>
      <c r="I15" s="11"/>
      <c r="J15" s="11"/>
    </row>
    <row r="16" spans="1:26">
      <c r="B16" s="11"/>
      <c r="C16" s="11"/>
      <c r="D16" s="11"/>
      <c r="E16" s="11"/>
      <c r="F16" s="11"/>
      <c r="G16" s="11"/>
      <c r="H16" s="11"/>
      <c r="I16" s="11"/>
      <c r="J16" s="11"/>
    </row>
    <row r="17" spans="2:10">
      <c r="B17" s="11"/>
      <c r="C17" s="11"/>
      <c r="D17" s="11"/>
      <c r="E17" s="11"/>
      <c r="F17" s="11"/>
      <c r="G17" s="11"/>
      <c r="H17" s="11"/>
      <c r="I17" s="11"/>
      <c r="J17" s="11"/>
    </row>
  </sheetData>
  <mergeCells count="3">
    <mergeCell ref="B2:J2"/>
    <mergeCell ref="B4:J4"/>
    <mergeCell ref="B14:J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5"/>
  <sheetViews>
    <sheetView workbookViewId="0">
      <selection sqref="A1:H1"/>
    </sheetView>
  </sheetViews>
  <sheetFormatPr defaultRowHeight="14.25"/>
  <cols>
    <col min="1" max="1" width="29.5" customWidth="1"/>
    <col min="2" max="2" width="6.5" customWidth="1"/>
    <col min="3" max="3" width="5.75" customWidth="1"/>
    <col min="4" max="4" width="9.625" customWidth="1"/>
    <col min="5" max="5" width="15.25" customWidth="1"/>
    <col min="6" max="6" width="8.375" customWidth="1"/>
    <col min="8" max="8" width="16.5" customWidth="1"/>
    <col min="9" max="9" width="4.5" customWidth="1"/>
  </cols>
  <sheetData>
    <row r="1" spans="1:26" ht="15">
      <c r="A1" s="14" t="s">
        <v>24</v>
      </c>
      <c r="B1" s="15"/>
      <c r="C1" s="15"/>
      <c r="D1" s="15"/>
      <c r="E1" s="15"/>
      <c r="F1" s="15"/>
      <c r="G1" s="15"/>
      <c r="H1" s="1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3" spans="1:26" ht="15">
      <c r="A3" s="1" t="s">
        <v>25</v>
      </c>
      <c r="B3" s="1" t="s">
        <v>26</v>
      </c>
      <c r="C3" s="1" t="s">
        <v>27</v>
      </c>
      <c r="D3" s="1" t="s">
        <v>28</v>
      </c>
      <c r="E3" s="1" t="s">
        <v>29</v>
      </c>
      <c r="F3" s="1" t="s">
        <v>30</v>
      </c>
      <c r="H3" s="1" t="s">
        <v>31</v>
      </c>
      <c r="I3" s="1" t="s">
        <v>32</v>
      </c>
    </row>
    <row r="4" spans="1:26">
      <c r="A4" t="s">
        <v>33</v>
      </c>
      <c r="B4" t="s">
        <v>34</v>
      </c>
      <c r="C4">
        <v>2026</v>
      </c>
      <c r="D4" t="s">
        <v>35</v>
      </c>
      <c r="E4" t="s">
        <v>36</v>
      </c>
      <c r="F4" t="s">
        <v>37</v>
      </c>
      <c r="H4" t="s">
        <v>38</v>
      </c>
      <c r="I4">
        <v>5760</v>
      </c>
    </row>
    <row r="5" spans="1:26">
      <c r="A5" t="s">
        <v>39</v>
      </c>
      <c r="B5" t="s">
        <v>40</v>
      </c>
      <c r="C5">
        <v>2027</v>
      </c>
      <c r="D5" t="s">
        <v>41</v>
      </c>
      <c r="E5" t="s">
        <v>42</v>
      </c>
      <c r="F5" t="s">
        <v>43</v>
      </c>
      <c r="H5" t="s">
        <v>44</v>
      </c>
      <c r="I5">
        <v>2880</v>
      </c>
    </row>
    <row r="6" spans="1:26">
      <c r="A6" t="s">
        <v>45</v>
      </c>
      <c r="C6">
        <v>2028</v>
      </c>
      <c r="D6" t="s">
        <v>46</v>
      </c>
      <c r="E6" t="s">
        <v>47</v>
      </c>
      <c r="F6" t="s">
        <v>48</v>
      </c>
      <c r="H6" t="s">
        <v>49</v>
      </c>
      <c r="I6">
        <v>576</v>
      </c>
    </row>
    <row r="7" spans="1:26">
      <c r="A7" t="s">
        <v>50</v>
      </c>
      <c r="D7" t="s">
        <v>51</v>
      </c>
      <c r="E7" t="s">
        <v>52</v>
      </c>
      <c r="F7" t="s">
        <v>53</v>
      </c>
      <c r="H7" t="s">
        <v>54</v>
      </c>
      <c r="I7">
        <v>2304</v>
      </c>
    </row>
    <row r="8" spans="1:26">
      <c r="A8" t="s">
        <v>55</v>
      </c>
      <c r="D8" t="s">
        <v>56</v>
      </c>
      <c r="E8" t="s">
        <v>57</v>
      </c>
      <c r="F8" t="s">
        <v>58</v>
      </c>
      <c r="H8" t="s">
        <v>59</v>
      </c>
      <c r="I8">
        <v>1152</v>
      </c>
    </row>
    <row r="9" spans="1:26">
      <c r="A9" t="s">
        <v>60</v>
      </c>
      <c r="D9" t="s">
        <v>61</v>
      </c>
      <c r="E9" t="s">
        <v>62</v>
      </c>
      <c r="F9" t="s">
        <v>63</v>
      </c>
      <c r="H9" t="s">
        <v>64</v>
      </c>
      <c r="I9">
        <v>4608</v>
      </c>
    </row>
    <row r="10" spans="1:26">
      <c r="A10" t="s">
        <v>65</v>
      </c>
      <c r="D10" t="s">
        <v>66</v>
      </c>
      <c r="E10" t="s">
        <v>67</v>
      </c>
      <c r="F10" t="s">
        <v>68</v>
      </c>
    </row>
    <row r="11" spans="1:26">
      <c r="A11" t="s">
        <v>69</v>
      </c>
      <c r="D11" t="s">
        <v>70</v>
      </c>
      <c r="F11" t="s">
        <v>71</v>
      </c>
    </row>
    <row r="12" spans="1:26">
      <c r="F12" t="s">
        <v>72</v>
      </c>
    </row>
    <row r="13" spans="1:26">
      <c r="F13" t="s">
        <v>73</v>
      </c>
    </row>
    <row r="14" spans="1:26">
      <c r="F14" t="s">
        <v>74</v>
      </c>
    </row>
    <row r="15" spans="1:26">
      <c r="F15" t="s">
        <v>75</v>
      </c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"/>
  <sheetViews>
    <sheetView workbookViewId="0">
      <selection sqref="A1:I1"/>
    </sheetView>
  </sheetViews>
  <sheetFormatPr defaultRowHeight="14.25"/>
  <cols>
    <col min="1" max="1" width="6.25" customWidth="1"/>
    <col min="2" max="2" width="32" customWidth="1"/>
    <col min="3" max="6" width="18" customWidth="1"/>
    <col min="7" max="7" width="10.5" customWidth="1"/>
    <col min="8" max="8" width="7.5" customWidth="1"/>
    <col min="9" max="9" width="10.25" customWidth="1"/>
  </cols>
  <sheetData>
    <row r="1" spans="1:26" ht="30" customHeight="1">
      <c r="A1" s="14" t="s">
        <v>76</v>
      </c>
      <c r="B1" s="15"/>
      <c r="C1" s="15"/>
      <c r="D1" s="15"/>
      <c r="E1" s="15"/>
      <c r="F1" s="15"/>
      <c r="G1" s="15"/>
      <c r="H1" s="15"/>
      <c r="I1" s="1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3" spans="1:26" ht="30">
      <c r="A3" s="4" t="s">
        <v>77</v>
      </c>
      <c r="B3" s="4" t="s">
        <v>78</v>
      </c>
      <c r="C3" s="4" t="s">
        <v>79</v>
      </c>
      <c r="D3" s="4" t="s">
        <v>26</v>
      </c>
      <c r="E3" s="4" t="s">
        <v>27</v>
      </c>
      <c r="F3" s="4" t="s">
        <v>28</v>
      </c>
      <c r="G3" s="4" t="s">
        <v>80</v>
      </c>
      <c r="H3" s="4" t="s">
        <v>81</v>
      </c>
      <c r="I3" s="4" t="s">
        <v>82</v>
      </c>
    </row>
    <row r="4" spans="1:26">
      <c r="A4">
        <v>1</v>
      </c>
      <c r="B4" t="s">
        <v>83</v>
      </c>
      <c r="C4" t="s">
        <v>33</v>
      </c>
      <c r="D4" t="s">
        <v>34</v>
      </c>
      <c r="E4">
        <v>2026</v>
      </c>
      <c r="F4" t="s">
        <v>35</v>
      </c>
      <c r="G4">
        <f>Configurações!$I$4</f>
        <v>5760</v>
      </c>
      <c r="H4">
        <f>Configurações!$I$5</f>
        <v>2880</v>
      </c>
    </row>
    <row r="5" spans="1:26">
      <c r="A5">
        <v>2</v>
      </c>
      <c r="B5" t="s">
        <v>84</v>
      </c>
      <c r="C5" t="s">
        <v>33</v>
      </c>
      <c r="D5" t="s">
        <v>34</v>
      </c>
      <c r="E5">
        <v>2026</v>
      </c>
      <c r="F5" t="s">
        <v>35</v>
      </c>
      <c r="G5">
        <f>Configurações!$I$4</f>
        <v>5760</v>
      </c>
      <c r="H5">
        <f>Configurações!$I$5</f>
        <v>2880</v>
      </c>
    </row>
    <row r="6" spans="1:26">
      <c r="A6">
        <v>3</v>
      </c>
      <c r="B6" t="s">
        <v>85</v>
      </c>
      <c r="C6" t="s">
        <v>39</v>
      </c>
      <c r="D6" t="s">
        <v>34</v>
      </c>
      <c r="E6">
        <v>2026</v>
      </c>
      <c r="F6" t="s">
        <v>35</v>
      </c>
      <c r="G6">
        <f>Configurações!$I$4</f>
        <v>5760</v>
      </c>
      <c r="H6">
        <f>Configurações!$I$5</f>
        <v>2880</v>
      </c>
    </row>
    <row r="7" spans="1:26">
      <c r="A7">
        <v>4</v>
      </c>
      <c r="B7" t="s">
        <v>86</v>
      </c>
      <c r="C7" t="s">
        <v>45</v>
      </c>
      <c r="D7" t="s">
        <v>34</v>
      </c>
      <c r="E7">
        <v>2026</v>
      </c>
      <c r="F7" t="s">
        <v>35</v>
      </c>
      <c r="G7">
        <f>Configurações!$I$4</f>
        <v>5760</v>
      </c>
      <c r="H7">
        <f>Configurações!$I$5</f>
        <v>2880</v>
      </c>
    </row>
    <row r="8" spans="1:26">
      <c r="A8">
        <v>5</v>
      </c>
      <c r="B8" t="s">
        <v>87</v>
      </c>
      <c r="C8" t="s">
        <v>50</v>
      </c>
      <c r="D8" t="s">
        <v>34</v>
      </c>
      <c r="E8">
        <v>2026</v>
      </c>
      <c r="F8" t="s">
        <v>35</v>
      </c>
      <c r="G8">
        <f>Configurações!$I$4</f>
        <v>5760</v>
      </c>
      <c r="H8">
        <f>Configurações!$I$5</f>
        <v>2880</v>
      </c>
    </row>
    <row r="9" spans="1:26">
      <c r="A9">
        <v>6</v>
      </c>
      <c r="B9" t="s">
        <v>88</v>
      </c>
      <c r="C9" t="s">
        <v>69</v>
      </c>
      <c r="D9" t="s">
        <v>34</v>
      </c>
      <c r="E9">
        <v>2026</v>
      </c>
      <c r="F9" t="s">
        <v>35</v>
      </c>
      <c r="G9">
        <f>Configurações!$I$4</f>
        <v>5760</v>
      </c>
      <c r="H9">
        <f>Configurações!$I$5</f>
        <v>2880</v>
      </c>
    </row>
    <row r="10" spans="1:26">
      <c r="A10">
        <v>7</v>
      </c>
      <c r="B10" t="s">
        <v>89</v>
      </c>
      <c r="C10" t="s">
        <v>69</v>
      </c>
      <c r="D10" t="s">
        <v>34</v>
      </c>
      <c r="E10">
        <v>2026</v>
      </c>
      <c r="F10" t="s">
        <v>35</v>
      </c>
      <c r="G10">
        <f>Configurações!$I$4</f>
        <v>5760</v>
      </c>
      <c r="H10">
        <f>Configurações!$I$5</f>
        <v>2880</v>
      </c>
    </row>
    <row r="11" spans="1:26">
      <c r="A11">
        <v>8</v>
      </c>
      <c r="B11" t="s">
        <v>90</v>
      </c>
      <c r="C11" t="s">
        <v>55</v>
      </c>
      <c r="D11" t="s">
        <v>34</v>
      </c>
      <c r="E11">
        <v>2026</v>
      </c>
      <c r="F11" t="s">
        <v>35</v>
      </c>
      <c r="G11">
        <f>Configurações!$I$4</f>
        <v>5760</v>
      </c>
      <c r="H11">
        <f>Configurações!$I$5</f>
        <v>2880</v>
      </c>
    </row>
    <row r="12" spans="1:26">
      <c r="A12">
        <v>9</v>
      </c>
      <c r="B12" t="s">
        <v>91</v>
      </c>
      <c r="C12" t="s">
        <v>60</v>
      </c>
      <c r="D12" t="s">
        <v>34</v>
      </c>
      <c r="E12">
        <v>2026</v>
      </c>
      <c r="F12" t="s">
        <v>35</v>
      </c>
      <c r="G12">
        <f>Configurações!$I$4</f>
        <v>5760</v>
      </c>
      <c r="H12">
        <f>Configurações!$I$5</f>
        <v>2880</v>
      </c>
    </row>
    <row r="13" spans="1:26">
      <c r="G13">
        <f>Configurações!$I$4</f>
        <v>5760</v>
      </c>
      <c r="H13">
        <f>Configurações!$I$5</f>
        <v>2880</v>
      </c>
    </row>
    <row r="14" spans="1:26">
      <c r="G14">
        <f>Configurações!$I$4</f>
        <v>5760</v>
      </c>
      <c r="H14">
        <f>Configurações!$I$5</f>
        <v>2880</v>
      </c>
    </row>
    <row r="15" spans="1:26">
      <c r="G15">
        <f>Configurações!$I$4</f>
        <v>5760</v>
      </c>
      <c r="H15">
        <f>Configurações!$I$5</f>
        <v>2880</v>
      </c>
    </row>
    <row r="16" spans="1:26">
      <c r="G16">
        <f>Configurações!$I$4</f>
        <v>5760</v>
      </c>
      <c r="H16">
        <f>Configurações!$I$5</f>
        <v>2880</v>
      </c>
    </row>
    <row r="17" spans="7:8">
      <c r="G17">
        <f>Configurações!$I$4</f>
        <v>5760</v>
      </c>
      <c r="H17">
        <f>Configurações!$I$5</f>
        <v>2880</v>
      </c>
    </row>
    <row r="18" spans="7:8">
      <c r="G18">
        <f>Configurações!$I$4</f>
        <v>5760</v>
      </c>
      <c r="H18">
        <f>Configurações!$I$5</f>
        <v>2880</v>
      </c>
    </row>
    <row r="19" spans="7:8">
      <c r="G19">
        <f>Configurações!$I$4</f>
        <v>5760</v>
      </c>
      <c r="H19">
        <f>Configurações!$I$5</f>
        <v>2880</v>
      </c>
    </row>
    <row r="20" spans="7:8">
      <c r="G20">
        <f>Configurações!$I$4</f>
        <v>5760</v>
      </c>
      <c r="H20">
        <f>Configurações!$I$5</f>
        <v>2880</v>
      </c>
    </row>
    <row r="21" spans="7:8">
      <c r="G21">
        <f>Configurações!$I$4</f>
        <v>5760</v>
      </c>
      <c r="H21">
        <f>Configurações!$I$5</f>
        <v>2880</v>
      </c>
    </row>
    <row r="22" spans="7:8">
      <c r="G22">
        <f>Configurações!$I$4</f>
        <v>5760</v>
      </c>
      <c r="H22">
        <f>Configurações!$I$5</f>
        <v>2880</v>
      </c>
    </row>
    <row r="23" spans="7:8">
      <c r="G23">
        <f>Configurações!$I$4</f>
        <v>5760</v>
      </c>
      <c r="H23">
        <f>Configurações!$I$5</f>
        <v>2880</v>
      </c>
    </row>
    <row r="24" spans="7:8">
      <c r="G24">
        <f>Configurações!$I$4</f>
        <v>5760</v>
      </c>
      <c r="H24">
        <f>Configurações!$I$5</f>
        <v>2880</v>
      </c>
    </row>
    <row r="25" spans="7:8">
      <c r="G25">
        <f>Configurações!$I$4</f>
        <v>5760</v>
      </c>
      <c r="H25">
        <f>Configurações!$I$5</f>
        <v>2880</v>
      </c>
    </row>
    <row r="26" spans="7:8">
      <c r="G26">
        <f>Configurações!$I$4</f>
        <v>5760</v>
      </c>
      <c r="H26">
        <f>Configurações!$I$5</f>
        <v>2880</v>
      </c>
    </row>
    <row r="27" spans="7:8">
      <c r="G27">
        <f>Configurações!$I$4</f>
        <v>5760</v>
      </c>
      <c r="H27">
        <f>Configurações!$I$5</f>
        <v>2880</v>
      </c>
    </row>
    <row r="28" spans="7:8">
      <c r="G28">
        <f>Configurações!$I$4</f>
        <v>5760</v>
      </c>
      <c r="H28">
        <f>Configurações!$I$5</f>
        <v>2880</v>
      </c>
    </row>
    <row r="29" spans="7:8">
      <c r="G29">
        <f>Configurações!$I$4</f>
        <v>5760</v>
      </c>
      <c r="H29">
        <f>Configurações!$I$5</f>
        <v>2880</v>
      </c>
    </row>
    <row r="30" spans="7:8">
      <c r="G30">
        <f>Configurações!$I$4</f>
        <v>5760</v>
      </c>
      <c r="H30">
        <f>Configurações!$I$5</f>
        <v>2880</v>
      </c>
    </row>
    <row r="31" spans="7:8">
      <c r="G31">
        <f>Configurações!$I$4</f>
        <v>5760</v>
      </c>
      <c r="H31">
        <f>Configurações!$I$5</f>
        <v>2880</v>
      </c>
    </row>
    <row r="32" spans="7:8">
      <c r="G32">
        <f>Configurações!$I$4</f>
        <v>5760</v>
      </c>
      <c r="H32">
        <f>Configurações!$I$5</f>
        <v>2880</v>
      </c>
    </row>
    <row r="33" spans="7:8">
      <c r="G33">
        <f>Configurações!$I$4</f>
        <v>5760</v>
      </c>
      <c r="H33">
        <f>Configurações!$I$5</f>
        <v>2880</v>
      </c>
    </row>
    <row r="34" spans="7:8">
      <c r="G34">
        <f>Configurações!$I$4</f>
        <v>5760</v>
      </c>
      <c r="H34">
        <f>Configurações!$I$5</f>
        <v>2880</v>
      </c>
    </row>
    <row r="35" spans="7:8">
      <c r="G35">
        <f>Configurações!$I$4</f>
        <v>5760</v>
      </c>
      <c r="H35">
        <f>Configurações!$I$5</f>
        <v>2880</v>
      </c>
    </row>
    <row r="36" spans="7:8">
      <c r="G36">
        <f>Configurações!$I$4</f>
        <v>5760</v>
      </c>
      <c r="H36">
        <f>Configurações!$I$5</f>
        <v>2880</v>
      </c>
    </row>
    <row r="37" spans="7:8">
      <c r="G37">
        <f>Configurações!$I$4</f>
        <v>5760</v>
      </c>
      <c r="H37">
        <f>Configurações!$I$5</f>
        <v>2880</v>
      </c>
    </row>
    <row r="38" spans="7:8">
      <c r="G38">
        <f>Configurações!$I$4</f>
        <v>5760</v>
      </c>
      <c r="H38">
        <f>Configurações!$I$5</f>
        <v>2880</v>
      </c>
    </row>
    <row r="39" spans="7:8">
      <c r="G39">
        <f>Configurações!$I$4</f>
        <v>5760</v>
      </c>
      <c r="H39">
        <f>Configurações!$I$5</f>
        <v>2880</v>
      </c>
    </row>
    <row r="40" spans="7:8">
      <c r="G40">
        <f>Configurações!$I$4</f>
        <v>5760</v>
      </c>
      <c r="H40">
        <f>Configurações!$I$5</f>
        <v>2880</v>
      </c>
    </row>
    <row r="41" spans="7:8">
      <c r="G41">
        <f>Configurações!$I$4</f>
        <v>5760</v>
      </c>
      <c r="H41">
        <f>Configurações!$I$5</f>
        <v>2880</v>
      </c>
    </row>
    <row r="42" spans="7:8">
      <c r="G42">
        <f>Configurações!$I$4</f>
        <v>5760</v>
      </c>
      <c r="H42">
        <f>Configurações!$I$5</f>
        <v>2880</v>
      </c>
    </row>
    <row r="43" spans="7:8">
      <c r="G43">
        <f>Configurações!$I$4</f>
        <v>5760</v>
      </c>
      <c r="H43">
        <f>Configurações!$I$5</f>
        <v>2880</v>
      </c>
    </row>
    <row r="44" spans="7:8">
      <c r="G44">
        <f>Configurações!$I$4</f>
        <v>5760</v>
      </c>
      <c r="H44">
        <f>Configurações!$I$5</f>
        <v>2880</v>
      </c>
    </row>
    <row r="45" spans="7:8">
      <c r="G45">
        <f>Configurações!$I$4</f>
        <v>5760</v>
      </c>
      <c r="H45">
        <f>Configurações!$I$5</f>
        <v>2880</v>
      </c>
    </row>
    <row r="46" spans="7:8">
      <c r="G46">
        <f>Configurações!$I$4</f>
        <v>5760</v>
      </c>
      <c r="H46">
        <f>Configurações!$I$5</f>
        <v>2880</v>
      </c>
    </row>
    <row r="47" spans="7:8">
      <c r="G47">
        <f>Configurações!$I$4</f>
        <v>5760</v>
      </c>
      <c r="H47">
        <f>Configurações!$I$5</f>
        <v>2880</v>
      </c>
    </row>
    <row r="48" spans="7:8">
      <c r="G48">
        <f>Configurações!$I$4</f>
        <v>5760</v>
      </c>
      <c r="H48">
        <f>Configurações!$I$5</f>
        <v>2880</v>
      </c>
    </row>
    <row r="49" spans="7:8">
      <c r="G49">
        <f>Configurações!$I$4</f>
        <v>5760</v>
      </c>
      <c r="H49">
        <f>Configurações!$I$5</f>
        <v>2880</v>
      </c>
    </row>
    <row r="50" spans="7:8">
      <c r="G50">
        <f>Configurações!$I$4</f>
        <v>5760</v>
      </c>
      <c r="H50">
        <f>Configurações!$I$5</f>
        <v>2880</v>
      </c>
    </row>
    <row r="51" spans="7:8">
      <c r="G51">
        <f>Configurações!$I$4</f>
        <v>5760</v>
      </c>
      <c r="H51">
        <f>Configurações!$I$5</f>
        <v>2880</v>
      </c>
    </row>
    <row r="52" spans="7:8">
      <c r="G52">
        <f>Configurações!$I$4</f>
        <v>5760</v>
      </c>
      <c r="H52">
        <f>Configurações!$I$5</f>
        <v>2880</v>
      </c>
    </row>
    <row r="53" spans="7:8">
      <c r="G53">
        <f>Configurações!$I$4</f>
        <v>5760</v>
      </c>
      <c r="H53">
        <f>Configurações!$I$5</f>
        <v>2880</v>
      </c>
    </row>
    <row r="54" spans="7:8">
      <c r="G54">
        <f>Configurações!$I$4</f>
        <v>5760</v>
      </c>
      <c r="H54">
        <f>Configurações!$I$5</f>
        <v>2880</v>
      </c>
    </row>
    <row r="55" spans="7:8">
      <c r="G55">
        <f>Configurações!$I$4</f>
        <v>5760</v>
      </c>
      <c r="H55">
        <f>Configurações!$I$5</f>
        <v>2880</v>
      </c>
    </row>
    <row r="56" spans="7:8">
      <c r="G56">
        <f>Configurações!$I$4</f>
        <v>5760</v>
      </c>
      <c r="H56">
        <f>Configurações!$I$5</f>
        <v>2880</v>
      </c>
    </row>
    <row r="57" spans="7:8">
      <c r="G57">
        <f>Configurações!$I$4</f>
        <v>5760</v>
      </c>
      <c r="H57">
        <f>Configurações!$I$5</f>
        <v>2880</v>
      </c>
    </row>
    <row r="58" spans="7:8">
      <c r="G58">
        <f>Configurações!$I$4</f>
        <v>5760</v>
      </c>
      <c r="H58">
        <f>Configurações!$I$5</f>
        <v>2880</v>
      </c>
    </row>
    <row r="59" spans="7:8">
      <c r="G59">
        <f>Configurações!$I$4</f>
        <v>5760</v>
      </c>
      <c r="H59">
        <f>Configurações!$I$5</f>
        <v>2880</v>
      </c>
    </row>
    <row r="60" spans="7:8">
      <c r="G60">
        <f>Configurações!$I$4</f>
        <v>5760</v>
      </c>
      <c r="H60">
        <f>Configurações!$I$5</f>
        <v>2880</v>
      </c>
    </row>
    <row r="61" spans="7:8">
      <c r="G61">
        <f>Configurações!$I$4</f>
        <v>5760</v>
      </c>
      <c r="H61">
        <f>Configurações!$I$5</f>
        <v>2880</v>
      </c>
    </row>
    <row r="62" spans="7:8">
      <c r="G62">
        <f>Configurações!$I$4</f>
        <v>5760</v>
      </c>
      <c r="H62">
        <f>Configurações!$I$5</f>
        <v>2880</v>
      </c>
    </row>
    <row r="63" spans="7:8">
      <c r="G63">
        <f>Configurações!$I$4</f>
        <v>5760</v>
      </c>
      <c r="H63">
        <f>Configurações!$I$5</f>
        <v>2880</v>
      </c>
    </row>
    <row r="64" spans="7:8">
      <c r="G64">
        <f>Configurações!$I$4</f>
        <v>5760</v>
      </c>
      <c r="H64">
        <f>Configurações!$I$5</f>
        <v>2880</v>
      </c>
    </row>
    <row r="65" spans="7:8">
      <c r="G65">
        <f>Configurações!$I$4</f>
        <v>5760</v>
      </c>
      <c r="H65">
        <f>Configurações!$I$5</f>
        <v>2880</v>
      </c>
    </row>
    <row r="66" spans="7:8">
      <c r="G66">
        <f>Configurações!$I$4</f>
        <v>5760</v>
      </c>
      <c r="H66">
        <f>Configurações!$I$5</f>
        <v>2880</v>
      </c>
    </row>
    <row r="67" spans="7:8">
      <c r="G67">
        <f>Configurações!$I$4</f>
        <v>5760</v>
      </c>
      <c r="H67">
        <f>Configurações!$I$5</f>
        <v>2880</v>
      </c>
    </row>
    <row r="68" spans="7:8">
      <c r="G68">
        <f>Configurações!$I$4</f>
        <v>5760</v>
      </c>
      <c r="H68">
        <f>Configurações!$I$5</f>
        <v>2880</v>
      </c>
    </row>
    <row r="69" spans="7:8">
      <c r="G69">
        <f>Configurações!$I$4</f>
        <v>5760</v>
      </c>
      <c r="H69">
        <f>Configurações!$I$5</f>
        <v>2880</v>
      </c>
    </row>
    <row r="70" spans="7:8">
      <c r="G70">
        <f>Configurações!$I$4</f>
        <v>5760</v>
      </c>
      <c r="H70">
        <f>Configurações!$I$5</f>
        <v>2880</v>
      </c>
    </row>
    <row r="71" spans="7:8">
      <c r="G71">
        <f>Configurações!$I$4</f>
        <v>5760</v>
      </c>
      <c r="H71">
        <f>Configurações!$I$5</f>
        <v>2880</v>
      </c>
    </row>
    <row r="72" spans="7:8">
      <c r="G72">
        <f>Configurações!$I$4</f>
        <v>5760</v>
      </c>
      <c r="H72">
        <f>Configurações!$I$5</f>
        <v>2880</v>
      </c>
    </row>
    <row r="73" spans="7:8">
      <c r="G73">
        <f>Configurações!$I$4</f>
        <v>5760</v>
      </c>
      <c r="H73">
        <f>Configurações!$I$5</f>
        <v>2880</v>
      </c>
    </row>
    <row r="74" spans="7:8">
      <c r="G74">
        <f>Configurações!$I$4</f>
        <v>5760</v>
      </c>
      <c r="H74">
        <f>Configurações!$I$5</f>
        <v>2880</v>
      </c>
    </row>
    <row r="75" spans="7:8">
      <c r="G75">
        <f>Configurações!$I$4</f>
        <v>5760</v>
      </c>
      <c r="H75">
        <f>Configurações!$I$5</f>
        <v>2880</v>
      </c>
    </row>
    <row r="76" spans="7:8">
      <c r="G76">
        <f>Configurações!$I$4</f>
        <v>5760</v>
      </c>
      <c r="H76">
        <f>Configurações!$I$5</f>
        <v>2880</v>
      </c>
    </row>
    <row r="77" spans="7:8">
      <c r="G77">
        <f>Configurações!$I$4</f>
        <v>5760</v>
      </c>
      <c r="H77">
        <f>Configurações!$I$5</f>
        <v>2880</v>
      </c>
    </row>
    <row r="78" spans="7:8">
      <c r="G78">
        <f>Configurações!$I$4</f>
        <v>5760</v>
      </c>
      <c r="H78">
        <f>Configurações!$I$5</f>
        <v>2880</v>
      </c>
    </row>
    <row r="79" spans="7:8">
      <c r="G79">
        <f>Configurações!$I$4</f>
        <v>5760</v>
      </c>
      <c r="H79">
        <f>Configurações!$I$5</f>
        <v>2880</v>
      </c>
    </row>
    <row r="80" spans="7:8">
      <c r="G80">
        <f>Configurações!$I$4</f>
        <v>5760</v>
      </c>
      <c r="H80">
        <f>Configurações!$I$5</f>
        <v>2880</v>
      </c>
    </row>
    <row r="81" spans="7:8">
      <c r="G81">
        <f>Configurações!$I$4</f>
        <v>5760</v>
      </c>
      <c r="H81">
        <f>Configurações!$I$5</f>
        <v>2880</v>
      </c>
    </row>
    <row r="82" spans="7:8">
      <c r="G82">
        <f>Configurações!$I$4</f>
        <v>5760</v>
      </c>
      <c r="H82">
        <f>Configurações!$I$5</f>
        <v>2880</v>
      </c>
    </row>
    <row r="83" spans="7:8">
      <c r="G83">
        <f>Configurações!$I$4</f>
        <v>5760</v>
      </c>
      <c r="H83">
        <f>Configurações!$I$5</f>
        <v>2880</v>
      </c>
    </row>
    <row r="84" spans="7:8">
      <c r="G84">
        <f>Configurações!$I$4</f>
        <v>5760</v>
      </c>
      <c r="H84">
        <f>Configurações!$I$5</f>
        <v>2880</v>
      </c>
    </row>
    <row r="85" spans="7:8">
      <c r="G85">
        <f>Configurações!$I$4</f>
        <v>5760</v>
      </c>
      <c r="H85">
        <f>Configurações!$I$5</f>
        <v>2880</v>
      </c>
    </row>
    <row r="86" spans="7:8">
      <c r="G86">
        <f>Configurações!$I$4</f>
        <v>5760</v>
      </c>
      <c r="H86">
        <f>Configurações!$I$5</f>
        <v>2880</v>
      </c>
    </row>
    <row r="87" spans="7:8">
      <c r="G87">
        <f>Configurações!$I$4</f>
        <v>5760</v>
      </c>
      <c r="H87">
        <f>Configurações!$I$5</f>
        <v>2880</v>
      </c>
    </row>
    <row r="88" spans="7:8">
      <c r="G88">
        <f>Configurações!$I$4</f>
        <v>5760</v>
      </c>
      <c r="H88">
        <f>Configurações!$I$5</f>
        <v>2880</v>
      </c>
    </row>
    <row r="89" spans="7:8">
      <c r="G89">
        <f>Configurações!$I$4</f>
        <v>5760</v>
      </c>
      <c r="H89">
        <f>Configurações!$I$5</f>
        <v>2880</v>
      </c>
    </row>
    <row r="90" spans="7:8">
      <c r="G90">
        <f>Configurações!$I$4</f>
        <v>5760</v>
      </c>
      <c r="H90">
        <f>Configurações!$I$5</f>
        <v>2880</v>
      </c>
    </row>
    <row r="91" spans="7:8">
      <c r="G91">
        <f>Configurações!$I$4</f>
        <v>5760</v>
      </c>
      <c r="H91">
        <f>Configurações!$I$5</f>
        <v>2880</v>
      </c>
    </row>
    <row r="92" spans="7:8">
      <c r="G92">
        <f>Configurações!$I$4</f>
        <v>5760</v>
      </c>
      <c r="H92">
        <f>Configurações!$I$5</f>
        <v>2880</v>
      </c>
    </row>
    <row r="93" spans="7:8">
      <c r="G93">
        <f>Configurações!$I$4</f>
        <v>5760</v>
      </c>
      <c r="H93">
        <f>Configurações!$I$5</f>
        <v>2880</v>
      </c>
    </row>
    <row r="94" spans="7:8">
      <c r="G94">
        <f>Configurações!$I$4</f>
        <v>5760</v>
      </c>
      <c r="H94">
        <f>Configurações!$I$5</f>
        <v>2880</v>
      </c>
    </row>
    <row r="95" spans="7:8">
      <c r="G95">
        <f>Configurações!$I$4</f>
        <v>5760</v>
      </c>
      <c r="H95">
        <f>Configurações!$I$5</f>
        <v>2880</v>
      </c>
    </row>
    <row r="96" spans="7:8">
      <c r="G96">
        <f>Configurações!$I$4</f>
        <v>5760</v>
      </c>
      <c r="H96">
        <f>Configurações!$I$5</f>
        <v>2880</v>
      </c>
    </row>
    <row r="97" spans="7:8">
      <c r="G97">
        <f>Configurações!$I$4</f>
        <v>5760</v>
      </c>
      <c r="H97">
        <f>Configurações!$I$5</f>
        <v>2880</v>
      </c>
    </row>
    <row r="98" spans="7:8">
      <c r="G98">
        <f>Configurações!$I$4</f>
        <v>5760</v>
      </c>
      <c r="H98">
        <f>Configurações!$I$5</f>
        <v>2880</v>
      </c>
    </row>
    <row r="99" spans="7:8">
      <c r="G99">
        <f>Configurações!$I$4</f>
        <v>5760</v>
      </c>
      <c r="H99">
        <f>Configurações!$I$5</f>
        <v>2880</v>
      </c>
    </row>
    <row r="100" spans="7:8">
      <c r="G100">
        <f>Configurações!$I$4</f>
        <v>5760</v>
      </c>
      <c r="H100">
        <f>Configurações!$I$5</f>
        <v>2880</v>
      </c>
    </row>
  </sheetData>
  <mergeCells count="1">
    <mergeCell ref="A1:I1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200-000000000000}">
          <x14:formula1>
            <xm:f>Configurações!$A$4:$A$11</xm:f>
          </x14:formula1>
          <xm:sqref>C4:C100</xm:sqref>
        </x14:dataValidation>
        <x14:dataValidation type="list" xr:uid="{00000000-0002-0000-0200-000001000000}">
          <x14:formula1>
            <xm:f>Configurações!$B$4:$B$5</xm:f>
          </x14:formula1>
          <xm:sqref>D4:D100</xm:sqref>
        </x14:dataValidation>
        <x14:dataValidation type="list" xr:uid="{00000000-0002-0000-0200-000002000000}">
          <x14:formula1>
            <xm:f>Configurações!$C$4:$C$6</xm:f>
          </x14:formula1>
          <xm:sqref>E4:E100</xm:sqref>
        </x14:dataValidation>
        <x14:dataValidation type="list" xr:uid="{00000000-0002-0000-0200-000003000000}">
          <x14:formula1>
            <xm:f>Configurações!$D$4:$D$11</xm:f>
          </x14:formula1>
          <xm:sqref>F4:F100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1"/>
  <sheetViews>
    <sheetView workbookViewId="0">
      <selection activeCell="C11" sqref="C11"/>
    </sheetView>
  </sheetViews>
  <sheetFormatPr defaultRowHeight="14.25"/>
  <cols>
    <col min="1" max="1" width="22.375" customWidth="1"/>
    <col min="2" max="2" width="14.875" customWidth="1"/>
    <col min="3" max="3" width="13.5" customWidth="1"/>
    <col min="4" max="4" width="5.25" customWidth="1"/>
    <col min="5" max="5" width="7" customWidth="1"/>
  </cols>
  <sheetData>
    <row r="1" spans="1:26" ht="15">
      <c r="A1" s="14" t="s">
        <v>92</v>
      </c>
      <c r="B1" s="15"/>
      <c r="C1" s="15"/>
      <c r="D1" s="15"/>
      <c r="E1" s="1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3" spans="1:26" ht="15">
      <c r="A3" s="1" t="s">
        <v>78</v>
      </c>
      <c r="B3" s="1" t="s">
        <v>79</v>
      </c>
      <c r="C3" s="1" t="s">
        <v>93</v>
      </c>
      <c r="D3" s="1" t="s">
        <v>94</v>
      </c>
      <c r="E3" s="1" t="s">
        <v>95</v>
      </c>
    </row>
    <row r="4" spans="1:26">
      <c r="A4" t="s">
        <v>96</v>
      </c>
      <c r="B4" t="s">
        <v>33</v>
      </c>
      <c r="C4" t="s">
        <v>97</v>
      </c>
    </row>
    <row r="5" spans="1:26">
      <c r="A5" t="s">
        <v>208</v>
      </c>
      <c r="B5" t="s">
        <v>39</v>
      </c>
      <c r="C5" t="s">
        <v>97</v>
      </c>
    </row>
    <row r="6" spans="1:26">
      <c r="A6" t="s">
        <v>209</v>
      </c>
      <c r="B6" t="s">
        <v>45</v>
      </c>
      <c r="C6" t="s">
        <v>98</v>
      </c>
    </row>
    <row r="7" spans="1:26">
      <c r="A7" t="s">
        <v>210</v>
      </c>
      <c r="B7" t="s">
        <v>50</v>
      </c>
      <c r="C7" t="s">
        <v>97</v>
      </c>
    </row>
    <row r="8" spans="1:26">
      <c r="A8" t="s">
        <v>211</v>
      </c>
      <c r="B8" t="s">
        <v>55</v>
      </c>
      <c r="C8" t="s">
        <v>99</v>
      </c>
    </row>
    <row r="9" spans="1:26">
      <c r="A9" t="s">
        <v>212</v>
      </c>
      <c r="B9" t="s">
        <v>69</v>
      </c>
      <c r="C9" t="s">
        <v>97</v>
      </c>
    </row>
    <row r="10" spans="1:26">
      <c r="A10" t="s">
        <v>213</v>
      </c>
      <c r="B10" t="s">
        <v>60</v>
      </c>
      <c r="C10" t="s">
        <v>100</v>
      </c>
    </row>
    <row r="11" spans="1:26">
      <c r="A11" t="s">
        <v>214</v>
      </c>
      <c r="B11" t="s">
        <v>69</v>
      </c>
      <c r="C11" t="s">
        <v>97</v>
      </c>
    </row>
  </sheetData>
  <mergeCells count="1">
    <mergeCell ref="A1:E1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300-000000000000}">
          <x14:formula1>
            <xm:f>Configurações!$A$4:$A$11</xm:f>
          </x14:formula1>
          <xm:sqref>B4:B100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6"/>
  <sheetViews>
    <sheetView workbookViewId="0">
      <selection activeCell="A4" sqref="A4:B16"/>
    </sheetView>
  </sheetViews>
  <sheetFormatPr defaultRowHeight="14.25"/>
  <cols>
    <col min="1" max="1" width="17.75" customWidth="1"/>
    <col min="2" max="2" width="16.875" customWidth="1"/>
    <col min="3" max="3" width="10.25" customWidth="1"/>
  </cols>
  <sheetData>
    <row r="1" spans="1:26" ht="15">
      <c r="A1" s="14" t="s">
        <v>101</v>
      </c>
      <c r="B1" s="15"/>
      <c r="C1" s="1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3" spans="1:26" ht="15">
      <c r="A3" s="1" t="s">
        <v>102</v>
      </c>
      <c r="B3" s="1" t="s">
        <v>103</v>
      </c>
      <c r="C3" s="1" t="s">
        <v>82</v>
      </c>
    </row>
    <row r="4" spans="1:26">
      <c r="A4" t="s">
        <v>98</v>
      </c>
      <c r="B4" t="s">
        <v>104</v>
      </c>
    </row>
    <row r="5" spans="1:26">
      <c r="A5" t="s">
        <v>201</v>
      </c>
      <c r="B5" t="s">
        <v>104</v>
      </c>
    </row>
    <row r="6" spans="1:26">
      <c r="A6" t="s">
        <v>202</v>
      </c>
      <c r="B6" t="s">
        <v>104</v>
      </c>
    </row>
    <row r="7" spans="1:26">
      <c r="A7" t="s">
        <v>203</v>
      </c>
      <c r="B7" t="s">
        <v>104</v>
      </c>
    </row>
    <row r="8" spans="1:26">
      <c r="A8" t="s">
        <v>204</v>
      </c>
      <c r="B8" t="s">
        <v>104</v>
      </c>
    </row>
    <row r="9" spans="1:26">
      <c r="A9" t="s">
        <v>205</v>
      </c>
      <c r="B9" t="s">
        <v>104</v>
      </c>
    </row>
    <row r="10" spans="1:26">
      <c r="A10" t="s">
        <v>206</v>
      </c>
      <c r="B10" t="s">
        <v>104</v>
      </c>
    </row>
    <row r="11" spans="1:26">
      <c r="A11" t="s">
        <v>207</v>
      </c>
      <c r="B11" t="s">
        <v>104</v>
      </c>
    </row>
    <row r="12" spans="1:26">
      <c r="A12" t="s">
        <v>99</v>
      </c>
      <c r="B12" t="s">
        <v>105</v>
      </c>
    </row>
    <row r="13" spans="1:26">
      <c r="A13" t="s">
        <v>100</v>
      </c>
      <c r="B13" t="s">
        <v>106</v>
      </c>
    </row>
    <row r="14" spans="1:26">
      <c r="A14" t="s">
        <v>107</v>
      </c>
      <c r="B14" t="s">
        <v>108</v>
      </c>
    </row>
    <row r="15" spans="1:26">
      <c r="A15" t="s">
        <v>110</v>
      </c>
      <c r="B15" t="s">
        <v>111</v>
      </c>
    </row>
    <row r="16" spans="1:26">
      <c r="A16" t="s">
        <v>112</v>
      </c>
      <c r="B16" t="s">
        <v>109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3"/>
  <sheetViews>
    <sheetView tabSelected="1" topLeftCell="A4" workbookViewId="0">
      <selection activeCell="A127" sqref="A127:R128"/>
    </sheetView>
  </sheetViews>
  <sheetFormatPr defaultRowHeight="14.25"/>
  <cols>
    <col min="1" max="1" width="12" customWidth="1"/>
    <col min="2" max="2" width="6.125" customWidth="1"/>
    <col min="3" max="3" width="8.25" customWidth="1"/>
    <col min="4" max="4" width="28" customWidth="1"/>
    <col min="5" max="6" width="16" customWidth="1"/>
    <col min="7" max="8" width="18" customWidth="1"/>
    <col min="9" max="9" width="7.625" customWidth="1"/>
    <col min="10" max="10" width="10.875" customWidth="1"/>
    <col min="11" max="15" width="10.25" customWidth="1"/>
    <col min="16" max="18" width="12" customWidth="1"/>
  </cols>
  <sheetData>
    <row r="1" spans="1:26" ht="30" customHeight="1">
      <c r="A1" s="14" t="s">
        <v>113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5"/>
      <c r="T1" s="5"/>
      <c r="U1" s="5"/>
      <c r="V1" s="5"/>
      <c r="W1" s="5"/>
      <c r="X1" s="5"/>
      <c r="Y1" s="5"/>
      <c r="Z1" s="5"/>
    </row>
    <row r="3" spans="1:26" ht="30">
      <c r="A3" s="4" t="s">
        <v>114</v>
      </c>
      <c r="B3" s="4" t="s">
        <v>27</v>
      </c>
      <c r="C3" s="4" t="s">
        <v>30</v>
      </c>
      <c r="D3" s="4" t="s">
        <v>115</v>
      </c>
      <c r="E3" s="4" t="s">
        <v>79</v>
      </c>
      <c r="F3" s="4" t="s">
        <v>26</v>
      </c>
      <c r="G3" s="4" t="s">
        <v>102</v>
      </c>
      <c r="H3" s="4" t="s">
        <v>116</v>
      </c>
      <c r="I3" s="4" t="s">
        <v>103</v>
      </c>
      <c r="J3" s="4" t="s">
        <v>117</v>
      </c>
      <c r="K3" s="4" t="s">
        <v>118</v>
      </c>
      <c r="L3" s="4" t="s">
        <v>119</v>
      </c>
      <c r="M3" s="4" t="s">
        <v>120</v>
      </c>
      <c r="N3" s="4" t="s">
        <v>121</v>
      </c>
      <c r="O3" s="4" t="s">
        <v>122</v>
      </c>
      <c r="P3" s="4" t="s">
        <v>123</v>
      </c>
      <c r="Q3" s="4" t="s">
        <v>124</v>
      </c>
      <c r="R3" s="4" t="s">
        <v>125</v>
      </c>
    </row>
    <row r="4" spans="1:26">
      <c r="A4" s="16">
        <v>46082</v>
      </c>
      <c r="B4">
        <f t="shared" ref="B4:B67" si="0">IF(A4="","",YEAR(A4))</f>
        <v>2026</v>
      </c>
      <c r="C4" t="str">
        <f t="shared" ref="C4" si="1">IF(A4="","",TEXT(A4,"mmmm"))</f>
        <v>março</v>
      </c>
      <c r="D4" t="s">
        <v>83</v>
      </c>
      <c r="E4" t="str">
        <f>IFERROR(VLOOKUP(D4,Cadastro!$B$4:$H$100,2,FALSE),"")</f>
        <v>Enfermagem</v>
      </c>
      <c r="F4" t="str">
        <f>IFERROR(VLOOKUP(D4,Cadastro!$B$4:$H$100,3,FALSE),"")</f>
        <v>R1</v>
      </c>
      <c r="G4" t="s">
        <v>202</v>
      </c>
      <c r="H4" t="s">
        <v>96</v>
      </c>
      <c r="I4" t="s">
        <v>36</v>
      </c>
      <c r="J4" s="7"/>
      <c r="K4" s="7"/>
      <c r="L4" s="7"/>
      <c r="M4" s="7"/>
      <c r="N4" s="7"/>
      <c r="O4" s="7"/>
      <c r="P4" s="8">
        <f t="shared" ref="P4:P67" si="2">IF(OR(J4="",K4=""),0,(K4-J4)*24)+IF(OR(L4="",M4=""),0,(M4-L4)*24)+IF(OR(N4="",O4=""),0,(O4-N4)*24)</f>
        <v>0</v>
      </c>
      <c r="Q4" s="8">
        <f t="shared" ref="Q4:Q67" si="3">IF(OR(I4="Prática",I4="Teórico-prática"),P4,0)</f>
        <v>0</v>
      </c>
      <c r="R4" s="8">
        <f t="shared" ref="R4:R67" si="4">IF(OR(I4="Teórica",I4="Teórico-prática"),P4,0)</f>
        <v>0</v>
      </c>
    </row>
    <row r="5" spans="1:26">
      <c r="A5" s="16">
        <v>46083</v>
      </c>
      <c r="B5">
        <f t="shared" si="0"/>
        <v>2026</v>
      </c>
      <c r="C5" t="str">
        <f t="shared" ref="C4:C67" si="5">IF(A5="","",TEXT(A5,"mmmm"))</f>
        <v>março</v>
      </c>
      <c r="D5" t="s">
        <v>83</v>
      </c>
      <c r="E5" t="str">
        <f>IFERROR(VLOOKUP(D5,Cadastro!$B$4:$H$100,2,FALSE),"")</f>
        <v>Enfermagem</v>
      </c>
      <c r="F5" t="str">
        <f>IFERROR(VLOOKUP(D5,Cadastro!$B$4:$H$100,3,FALSE),"")</f>
        <v>R1</v>
      </c>
      <c r="G5" t="s">
        <v>202</v>
      </c>
      <c r="H5" t="s">
        <v>96</v>
      </c>
      <c r="I5" t="s">
        <v>36</v>
      </c>
      <c r="J5" s="7"/>
      <c r="K5" s="7"/>
      <c r="L5" s="7"/>
      <c r="M5" s="7"/>
      <c r="N5" s="7"/>
      <c r="O5" s="7"/>
      <c r="P5" s="8">
        <f t="shared" si="2"/>
        <v>0</v>
      </c>
      <c r="Q5" s="8">
        <f t="shared" si="3"/>
        <v>0</v>
      </c>
      <c r="R5" s="8">
        <f t="shared" si="4"/>
        <v>0</v>
      </c>
    </row>
    <row r="6" spans="1:26">
      <c r="A6" s="16">
        <v>46084</v>
      </c>
      <c r="B6">
        <f t="shared" si="0"/>
        <v>2026</v>
      </c>
      <c r="C6" t="str">
        <f t="shared" si="5"/>
        <v>março</v>
      </c>
      <c r="D6" t="s">
        <v>83</v>
      </c>
      <c r="E6" t="str">
        <f>IFERROR(VLOOKUP(D6,Cadastro!$B$4:$H$100,2,FALSE),"")</f>
        <v>Enfermagem</v>
      </c>
      <c r="F6" t="str">
        <f>IFERROR(VLOOKUP(D6,Cadastro!$B$4:$H$100,3,FALSE),"")</f>
        <v>R1</v>
      </c>
      <c r="G6" t="s">
        <v>202</v>
      </c>
      <c r="H6" t="s">
        <v>96</v>
      </c>
      <c r="I6" t="s">
        <v>36</v>
      </c>
      <c r="J6" s="7"/>
      <c r="K6" s="7"/>
      <c r="L6" s="7"/>
      <c r="M6" s="7"/>
      <c r="N6" s="7"/>
      <c r="O6" s="7"/>
      <c r="P6" s="8">
        <f t="shared" si="2"/>
        <v>0</v>
      </c>
      <c r="Q6" s="8">
        <f t="shared" si="3"/>
        <v>0</v>
      </c>
      <c r="R6" s="8">
        <f t="shared" si="4"/>
        <v>0</v>
      </c>
    </row>
    <row r="7" spans="1:26">
      <c r="A7" s="16">
        <v>46085</v>
      </c>
      <c r="B7">
        <f t="shared" si="0"/>
        <v>2026</v>
      </c>
      <c r="C7" t="str">
        <f t="shared" si="5"/>
        <v>março</v>
      </c>
      <c r="D7" t="s">
        <v>83</v>
      </c>
      <c r="E7" t="str">
        <f>IFERROR(VLOOKUP(D7,Cadastro!$B$4:$H$100,2,FALSE),"")</f>
        <v>Enfermagem</v>
      </c>
      <c r="F7" t="str">
        <f>IFERROR(VLOOKUP(D7,Cadastro!$B$4:$H$100,3,FALSE),"")</f>
        <v>R1</v>
      </c>
      <c r="G7" t="s">
        <v>202</v>
      </c>
      <c r="H7" t="s">
        <v>96</v>
      </c>
      <c r="I7" t="s">
        <v>36</v>
      </c>
      <c r="J7" s="7"/>
      <c r="K7" s="7"/>
      <c r="L7" s="7"/>
      <c r="M7" s="7"/>
      <c r="N7" s="7"/>
      <c r="O7" s="7"/>
      <c r="P7" s="8">
        <f t="shared" si="2"/>
        <v>0</v>
      </c>
      <c r="Q7" s="8">
        <f t="shared" si="3"/>
        <v>0</v>
      </c>
      <c r="R7" s="8">
        <f t="shared" si="4"/>
        <v>0</v>
      </c>
    </row>
    <row r="8" spans="1:26">
      <c r="A8" s="16">
        <v>46086</v>
      </c>
      <c r="B8">
        <f t="shared" si="0"/>
        <v>2026</v>
      </c>
      <c r="C8" t="str">
        <f t="shared" si="5"/>
        <v>março</v>
      </c>
      <c r="D8" t="s">
        <v>83</v>
      </c>
      <c r="E8" t="str">
        <f>IFERROR(VLOOKUP(D8,Cadastro!$B$4:$H$100,2,FALSE),"")</f>
        <v>Enfermagem</v>
      </c>
      <c r="F8" t="str">
        <f>IFERROR(VLOOKUP(D8,Cadastro!$B$4:$H$100,3,FALSE),"")</f>
        <v>R1</v>
      </c>
      <c r="G8" t="s">
        <v>202</v>
      </c>
      <c r="H8" t="s">
        <v>96</v>
      </c>
      <c r="I8" t="s">
        <v>36</v>
      </c>
      <c r="J8" s="7"/>
      <c r="K8" s="7"/>
      <c r="L8" s="7"/>
      <c r="M8" s="7"/>
      <c r="N8" s="7"/>
      <c r="O8" s="7"/>
      <c r="P8" s="8">
        <f t="shared" si="2"/>
        <v>0</v>
      </c>
      <c r="Q8" s="8">
        <f t="shared" si="3"/>
        <v>0</v>
      </c>
      <c r="R8" s="8">
        <f t="shared" si="4"/>
        <v>0</v>
      </c>
    </row>
    <row r="9" spans="1:26">
      <c r="A9" s="16">
        <v>46087</v>
      </c>
      <c r="B9">
        <f t="shared" si="0"/>
        <v>2026</v>
      </c>
      <c r="C9" t="str">
        <f t="shared" si="5"/>
        <v>março</v>
      </c>
      <c r="D9" t="s">
        <v>83</v>
      </c>
      <c r="E9" t="str">
        <f>IFERROR(VLOOKUP(D9,Cadastro!$B$4:$H$100,2,FALSE),"")</f>
        <v>Enfermagem</v>
      </c>
      <c r="F9" t="str">
        <f>IFERROR(VLOOKUP(D9,Cadastro!$B$4:$H$100,3,FALSE),"")</f>
        <v>R1</v>
      </c>
      <c r="G9" t="s">
        <v>202</v>
      </c>
      <c r="H9" t="s">
        <v>96</v>
      </c>
      <c r="I9" t="s">
        <v>36</v>
      </c>
      <c r="J9" s="7"/>
      <c r="K9" s="7"/>
      <c r="L9" s="7"/>
      <c r="M9" s="7"/>
      <c r="N9" s="7"/>
      <c r="O9" s="7"/>
      <c r="P9" s="8">
        <f t="shared" si="2"/>
        <v>0</v>
      </c>
      <c r="Q9" s="8">
        <f t="shared" si="3"/>
        <v>0</v>
      </c>
      <c r="R9" s="8">
        <f t="shared" si="4"/>
        <v>0</v>
      </c>
    </row>
    <row r="10" spans="1:26">
      <c r="A10" s="16">
        <v>46088</v>
      </c>
      <c r="B10">
        <f t="shared" si="0"/>
        <v>2026</v>
      </c>
      <c r="C10" t="str">
        <f t="shared" si="5"/>
        <v>março</v>
      </c>
      <c r="D10" t="s">
        <v>83</v>
      </c>
      <c r="E10" t="str">
        <f>IFERROR(VLOOKUP(D10,Cadastro!$B$4:$H$100,2,FALSE),"")</f>
        <v>Enfermagem</v>
      </c>
      <c r="F10" t="str">
        <f>IFERROR(VLOOKUP(D10,Cadastro!$B$4:$H$100,3,FALSE),"")</f>
        <v>R1</v>
      </c>
      <c r="G10" t="s">
        <v>202</v>
      </c>
      <c r="H10" t="s">
        <v>96</v>
      </c>
      <c r="I10" t="s">
        <v>36</v>
      </c>
      <c r="J10" s="7"/>
      <c r="K10" s="7"/>
      <c r="L10" s="7"/>
      <c r="M10" s="7"/>
      <c r="N10" s="7"/>
      <c r="O10" s="7"/>
      <c r="P10" s="8">
        <f t="shared" si="2"/>
        <v>0</v>
      </c>
      <c r="Q10" s="8">
        <f t="shared" si="3"/>
        <v>0</v>
      </c>
      <c r="R10" s="8">
        <f t="shared" si="4"/>
        <v>0</v>
      </c>
    </row>
    <row r="11" spans="1:26">
      <c r="A11" s="16">
        <v>46089</v>
      </c>
      <c r="B11">
        <f t="shared" si="0"/>
        <v>2026</v>
      </c>
      <c r="C11" t="str">
        <f t="shared" si="5"/>
        <v>março</v>
      </c>
      <c r="D11" t="s">
        <v>83</v>
      </c>
      <c r="E11" t="str">
        <f>IFERROR(VLOOKUP(D11,Cadastro!$B$4:$H$100,2,FALSE),"")</f>
        <v>Enfermagem</v>
      </c>
      <c r="F11" t="str">
        <f>IFERROR(VLOOKUP(D11,Cadastro!$B$4:$H$100,3,FALSE),"")</f>
        <v>R1</v>
      </c>
      <c r="G11" t="s">
        <v>202</v>
      </c>
      <c r="H11" t="s">
        <v>96</v>
      </c>
      <c r="I11" t="s">
        <v>36</v>
      </c>
      <c r="J11" s="7"/>
      <c r="K11" s="7"/>
      <c r="L11" s="7"/>
      <c r="M11" s="7"/>
      <c r="N11" s="7"/>
      <c r="O11" s="7"/>
      <c r="P11" s="8">
        <f t="shared" si="2"/>
        <v>0</v>
      </c>
      <c r="Q11" s="8">
        <f t="shared" si="3"/>
        <v>0</v>
      </c>
      <c r="R11" s="8">
        <f t="shared" si="4"/>
        <v>0</v>
      </c>
    </row>
    <row r="12" spans="1:26">
      <c r="A12" s="16">
        <v>46090</v>
      </c>
      <c r="B12">
        <f t="shared" si="0"/>
        <v>2026</v>
      </c>
      <c r="C12" t="str">
        <f t="shared" si="5"/>
        <v>março</v>
      </c>
      <c r="D12" t="s">
        <v>83</v>
      </c>
      <c r="E12" t="str">
        <f>IFERROR(VLOOKUP(D12,Cadastro!$B$4:$H$100,2,FALSE),"")</f>
        <v>Enfermagem</v>
      </c>
      <c r="F12" t="str">
        <f>IFERROR(VLOOKUP(D12,Cadastro!$B$4:$H$100,3,FALSE),"")</f>
        <v>R1</v>
      </c>
      <c r="G12" t="s">
        <v>202</v>
      </c>
      <c r="H12" t="s">
        <v>96</v>
      </c>
      <c r="I12" t="s">
        <v>36</v>
      </c>
      <c r="J12" s="30">
        <v>0.33333333333333331</v>
      </c>
      <c r="K12" s="30">
        <v>0.70833333333333337</v>
      </c>
      <c r="L12" s="7"/>
      <c r="M12" s="7"/>
      <c r="N12" s="7"/>
      <c r="O12" s="7"/>
      <c r="P12" s="8">
        <f t="shared" si="2"/>
        <v>9.0000000000000018</v>
      </c>
      <c r="Q12" s="8">
        <f t="shared" si="3"/>
        <v>9.0000000000000018</v>
      </c>
      <c r="R12" s="8">
        <f t="shared" si="4"/>
        <v>0</v>
      </c>
    </row>
    <row r="13" spans="1:26">
      <c r="A13" s="16">
        <v>46091</v>
      </c>
      <c r="B13">
        <f t="shared" si="0"/>
        <v>2026</v>
      </c>
      <c r="C13" t="str">
        <f t="shared" si="5"/>
        <v>março</v>
      </c>
      <c r="D13" t="s">
        <v>83</v>
      </c>
      <c r="E13" t="str">
        <f>IFERROR(VLOOKUP(D13,Cadastro!$B$4:$H$100,2,FALSE),"")</f>
        <v>Enfermagem</v>
      </c>
      <c r="F13" t="str">
        <f>IFERROR(VLOOKUP(D13,Cadastro!$B$4:$H$100,3,FALSE),"")</f>
        <v>R1</v>
      </c>
      <c r="G13" t="s">
        <v>202</v>
      </c>
      <c r="H13" t="s">
        <v>96</v>
      </c>
      <c r="I13" t="s">
        <v>36</v>
      </c>
      <c r="J13" s="30">
        <v>0.33333333333333331</v>
      </c>
      <c r="K13" s="30">
        <v>0.70833333333333337</v>
      </c>
      <c r="L13" s="7"/>
      <c r="M13" s="7"/>
      <c r="N13" s="7"/>
      <c r="O13" s="7"/>
      <c r="P13" s="8">
        <f t="shared" si="2"/>
        <v>9.0000000000000018</v>
      </c>
      <c r="Q13" s="8">
        <f t="shared" si="3"/>
        <v>9.0000000000000018</v>
      </c>
      <c r="R13" s="8">
        <f t="shared" si="4"/>
        <v>0</v>
      </c>
    </row>
    <row r="14" spans="1:26">
      <c r="A14" s="16">
        <v>46092</v>
      </c>
      <c r="B14">
        <f t="shared" si="0"/>
        <v>2026</v>
      </c>
      <c r="C14" t="str">
        <f t="shared" si="5"/>
        <v>março</v>
      </c>
      <c r="D14" t="s">
        <v>83</v>
      </c>
      <c r="E14" t="str">
        <f>IFERROR(VLOOKUP(D14,Cadastro!$B$4:$H$100,2,FALSE),"")</f>
        <v>Enfermagem</v>
      </c>
      <c r="F14" t="str">
        <f>IFERROR(VLOOKUP(D14,Cadastro!$B$4:$H$100,3,FALSE),"")</f>
        <v>R1</v>
      </c>
      <c r="G14" t="s">
        <v>202</v>
      </c>
      <c r="H14" t="s">
        <v>96</v>
      </c>
      <c r="I14" t="s">
        <v>36</v>
      </c>
      <c r="J14" s="30">
        <v>0.33333333333333298</v>
      </c>
      <c r="K14" s="30">
        <v>0.70833333333333304</v>
      </c>
      <c r="L14" s="7"/>
      <c r="M14" s="7"/>
      <c r="N14" s="7"/>
      <c r="O14" s="7"/>
      <c r="P14" s="8">
        <f t="shared" si="2"/>
        <v>9.0000000000000018</v>
      </c>
      <c r="Q14" s="8">
        <f t="shared" si="3"/>
        <v>9.0000000000000018</v>
      </c>
      <c r="R14" s="8">
        <f t="shared" si="4"/>
        <v>0</v>
      </c>
    </row>
    <row r="15" spans="1:26">
      <c r="A15" s="16">
        <v>46093</v>
      </c>
      <c r="B15">
        <f t="shared" si="0"/>
        <v>2026</v>
      </c>
      <c r="C15" t="str">
        <f t="shared" si="5"/>
        <v>março</v>
      </c>
      <c r="D15" t="s">
        <v>83</v>
      </c>
      <c r="E15" t="str">
        <f>IFERROR(VLOOKUP(D15,Cadastro!$B$4:$H$100,2,FALSE),"")</f>
        <v>Enfermagem</v>
      </c>
      <c r="F15" t="str">
        <f>IFERROR(VLOOKUP(D15,Cadastro!$B$4:$H$100,3,FALSE),"")</f>
        <v>R1</v>
      </c>
      <c r="G15" t="s">
        <v>202</v>
      </c>
      <c r="H15" t="s">
        <v>96</v>
      </c>
      <c r="I15" t="s">
        <v>36</v>
      </c>
      <c r="J15" s="30">
        <v>0.33333333333333298</v>
      </c>
      <c r="K15" s="30">
        <v>0.70833333333333304</v>
      </c>
      <c r="L15" s="7"/>
      <c r="M15" s="7"/>
      <c r="N15" s="7"/>
      <c r="O15" s="7"/>
      <c r="P15" s="8">
        <f t="shared" si="2"/>
        <v>9.0000000000000018</v>
      </c>
      <c r="Q15" s="8">
        <f t="shared" si="3"/>
        <v>9.0000000000000018</v>
      </c>
      <c r="R15" s="8">
        <f t="shared" si="4"/>
        <v>0</v>
      </c>
    </row>
    <row r="16" spans="1:26">
      <c r="A16" s="16">
        <v>46094</v>
      </c>
      <c r="B16">
        <f t="shared" si="0"/>
        <v>2026</v>
      </c>
      <c r="C16" t="str">
        <f t="shared" si="5"/>
        <v>março</v>
      </c>
      <c r="D16" t="s">
        <v>83</v>
      </c>
      <c r="E16" t="str">
        <f>IFERROR(VLOOKUP(D16,Cadastro!$B$4:$H$100,2,FALSE),"")</f>
        <v>Enfermagem</v>
      </c>
      <c r="F16" t="str">
        <f>IFERROR(VLOOKUP(D16,Cadastro!$B$4:$H$100,3,FALSE),"")</f>
        <v>R1</v>
      </c>
      <c r="G16" t="s">
        <v>202</v>
      </c>
      <c r="H16" t="s">
        <v>96</v>
      </c>
      <c r="I16" t="s">
        <v>36</v>
      </c>
      <c r="J16" s="30">
        <v>0.33333333333333298</v>
      </c>
      <c r="K16" s="30">
        <v>0.70833333333333304</v>
      </c>
      <c r="L16" s="7"/>
      <c r="M16" s="7"/>
      <c r="N16" s="7"/>
      <c r="O16" s="7"/>
      <c r="P16" s="8">
        <f t="shared" si="2"/>
        <v>9.0000000000000018</v>
      </c>
      <c r="Q16" s="8">
        <f t="shared" si="3"/>
        <v>9.0000000000000018</v>
      </c>
      <c r="R16" s="8">
        <f t="shared" si="4"/>
        <v>0</v>
      </c>
    </row>
    <row r="17" spans="1:18">
      <c r="A17" s="19">
        <v>46095</v>
      </c>
      <c r="B17" s="20">
        <f t="shared" si="0"/>
        <v>2026</v>
      </c>
      <c r="C17" s="20" t="str">
        <f t="shared" si="5"/>
        <v>março</v>
      </c>
      <c r="D17" s="20" t="s">
        <v>83</v>
      </c>
      <c r="E17" s="20" t="str">
        <f>IFERROR(VLOOKUP(D17,Cadastro!$B$4:$H$100,2,FALSE),"")</f>
        <v>Enfermagem</v>
      </c>
      <c r="F17" s="20" t="str">
        <f>IFERROR(VLOOKUP(D17,Cadastro!$B$4:$H$100,3,FALSE),"")</f>
        <v>R1</v>
      </c>
      <c r="G17" s="20" t="s">
        <v>202</v>
      </c>
      <c r="H17" s="20" t="s">
        <v>96</v>
      </c>
      <c r="I17" s="20" t="s">
        <v>36</v>
      </c>
      <c r="J17" s="31"/>
      <c r="K17" s="31"/>
      <c r="L17" s="32"/>
      <c r="M17" s="32"/>
      <c r="N17" s="32"/>
      <c r="O17" s="32"/>
      <c r="P17" s="21">
        <f t="shared" si="2"/>
        <v>0</v>
      </c>
      <c r="Q17" s="21">
        <f t="shared" si="3"/>
        <v>0</v>
      </c>
      <c r="R17" s="21">
        <f t="shared" si="4"/>
        <v>0</v>
      </c>
    </row>
    <row r="18" spans="1:18">
      <c r="A18" s="19">
        <v>46096</v>
      </c>
      <c r="B18" s="20">
        <f t="shared" si="0"/>
        <v>2026</v>
      </c>
      <c r="C18" s="20" t="str">
        <f t="shared" si="5"/>
        <v>março</v>
      </c>
      <c r="D18" s="20" t="s">
        <v>83</v>
      </c>
      <c r="E18" s="20" t="str">
        <f>IFERROR(VLOOKUP(D18,Cadastro!$B$4:$H$100,2,FALSE),"")</f>
        <v>Enfermagem</v>
      </c>
      <c r="F18" s="20" t="str">
        <f>IFERROR(VLOOKUP(D18,Cadastro!$B$4:$H$100,3,FALSE),"")</f>
        <v>R1</v>
      </c>
      <c r="G18" s="20" t="s">
        <v>202</v>
      </c>
      <c r="H18" s="20" t="s">
        <v>96</v>
      </c>
      <c r="I18" s="20" t="s">
        <v>36</v>
      </c>
      <c r="J18" s="31"/>
      <c r="K18" s="31"/>
      <c r="L18" s="32"/>
      <c r="M18" s="32"/>
      <c r="N18" s="32"/>
      <c r="O18" s="32"/>
      <c r="P18" s="21">
        <f t="shared" si="2"/>
        <v>0</v>
      </c>
      <c r="Q18" s="21">
        <f t="shared" si="3"/>
        <v>0</v>
      </c>
      <c r="R18" s="21">
        <f t="shared" si="4"/>
        <v>0</v>
      </c>
    </row>
    <row r="19" spans="1:18">
      <c r="A19" s="16">
        <v>46097</v>
      </c>
      <c r="B19">
        <f t="shared" si="0"/>
        <v>2026</v>
      </c>
      <c r="C19" t="str">
        <f t="shared" si="5"/>
        <v>março</v>
      </c>
      <c r="D19" t="s">
        <v>83</v>
      </c>
      <c r="E19" t="str">
        <f>IFERROR(VLOOKUP(D19,Cadastro!$B$4:$H$100,2,FALSE),"")</f>
        <v>Enfermagem</v>
      </c>
      <c r="F19" t="str">
        <f>IFERROR(VLOOKUP(D19,Cadastro!$B$4:$H$100,3,FALSE),"")</f>
        <v>R1</v>
      </c>
      <c r="G19" t="s">
        <v>202</v>
      </c>
      <c r="H19" t="s">
        <v>96</v>
      </c>
      <c r="I19" t="s">
        <v>36</v>
      </c>
      <c r="J19" s="17">
        <v>0.30486111111111108</v>
      </c>
      <c r="K19" s="17">
        <v>0.51041666666666663</v>
      </c>
      <c r="L19" s="17">
        <v>0.56180555555555556</v>
      </c>
      <c r="M19" s="17">
        <v>0.72916666666666663</v>
      </c>
      <c r="N19" s="17"/>
      <c r="O19" s="17"/>
      <c r="P19" s="8">
        <f t="shared" si="2"/>
        <v>8.9499999999999993</v>
      </c>
      <c r="Q19" s="8">
        <f t="shared" si="3"/>
        <v>8.9499999999999993</v>
      </c>
      <c r="R19" s="8">
        <f t="shared" si="4"/>
        <v>0</v>
      </c>
    </row>
    <row r="20" spans="1:18">
      <c r="A20" s="16">
        <v>46098</v>
      </c>
      <c r="B20">
        <f t="shared" si="0"/>
        <v>2026</v>
      </c>
      <c r="C20" t="str">
        <f t="shared" si="5"/>
        <v>março</v>
      </c>
      <c r="D20" t="s">
        <v>83</v>
      </c>
      <c r="E20" t="str">
        <f>IFERROR(VLOOKUP(D20,Cadastro!$B$4:$H$100,2,FALSE),"")</f>
        <v>Enfermagem</v>
      </c>
      <c r="F20" t="str">
        <f>IFERROR(VLOOKUP(D20,Cadastro!$B$4:$H$100,3,FALSE),"")</f>
        <v>R1</v>
      </c>
      <c r="G20" t="s">
        <v>202</v>
      </c>
      <c r="H20" t="s">
        <v>96</v>
      </c>
      <c r="I20" t="s">
        <v>36</v>
      </c>
      <c r="J20" s="17">
        <v>0.29166666666666669</v>
      </c>
      <c r="K20" s="17">
        <v>0.50347222222222221</v>
      </c>
      <c r="L20" s="17">
        <v>0.5625</v>
      </c>
      <c r="M20" s="17">
        <v>0.73611111111111116</v>
      </c>
      <c r="N20" s="17">
        <v>0.75</v>
      </c>
      <c r="O20" s="17">
        <v>0.875</v>
      </c>
      <c r="P20" s="8">
        <f t="shared" si="2"/>
        <v>12.25</v>
      </c>
      <c r="Q20" s="8">
        <f t="shared" si="3"/>
        <v>12.25</v>
      </c>
      <c r="R20" s="8">
        <f t="shared" si="4"/>
        <v>0</v>
      </c>
    </row>
    <row r="21" spans="1:18">
      <c r="A21" s="16">
        <v>46099</v>
      </c>
      <c r="B21">
        <f t="shared" si="0"/>
        <v>2026</v>
      </c>
      <c r="C21" t="str">
        <f t="shared" si="5"/>
        <v>março</v>
      </c>
      <c r="D21" t="s">
        <v>83</v>
      </c>
      <c r="E21" t="str">
        <f>IFERROR(VLOOKUP(D21,Cadastro!$B$4:$H$100,2,FALSE),"")</f>
        <v>Enfermagem</v>
      </c>
      <c r="F21" t="str">
        <f>IFERROR(VLOOKUP(D21,Cadastro!$B$4:$H$100,3,FALSE),"")</f>
        <v>R1</v>
      </c>
      <c r="G21" t="s">
        <v>202</v>
      </c>
      <c r="H21" t="s">
        <v>96</v>
      </c>
      <c r="I21" t="s">
        <v>36</v>
      </c>
      <c r="J21" s="17">
        <v>0.2986111111111111</v>
      </c>
      <c r="K21" s="17">
        <v>0.5</v>
      </c>
      <c r="L21" s="17">
        <v>0.56944444444444442</v>
      </c>
      <c r="M21" s="17">
        <v>0.72916666666666663</v>
      </c>
      <c r="N21" s="17"/>
      <c r="O21" s="17"/>
      <c r="P21" s="8">
        <f t="shared" si="2"/>
        <v>8.6666666666666679</v>
      </c>
      <c r="Q21" s="8">
        <f t="shared" si="3"/>
        <v>8.6666666666666679</v>
      </c>
      <c r="R21" s="8">
        <f t="shared" si="4"/>
        <v>0</v>
      </c>
    </row>
    <row r="22" spans="1:18">
      <c r="A22" s="16">
        <v>46100</v>
      </c>
      <c r="B22">
        <f t="shared" si="0"/>
        <v>2026</v>
      </c>
      <c r="C22" t="str">
        <f t="shared" si="5"/>
        <v>março</v>
      </c>
      <c r="D22" t="s">
        <v>83</v>
      </c>
      <c r="E22" t="str">
        <f>IFERROR(VLOOKUP(D22,Cadastro!$B$4:$H$100,2,FALSE),"")</f>
        <v>Enfermagem</v>
      </c>
      <c r="F22" t="str">
        <f>IFERROR(VLOOKUP(D22,Cadastro!$B$4:$H$100,3,FALSE),"")</f>
        <v>R1</v>
      </c>
      <c r="G22" t="s">
        <v>202</v>
      </c>
      <c r="H22" t="s">
        <v>96</v>
      </c>
      <c r="I22" t="s">
        <v>36</v>
      </c>
      <c r="J22" s="17">
        <v>0.29166666666666669</v>
      </c>
      <c r="K22" s="17">
        <v>0.5</v>
      </c>
      <c r="L22" s="17">
        <v>0.5625</v>
      </c>
      <c r="M22" s="17">
        <v>0.72569444444444453</v>
      </c>
      <c r="N22" s="17"/>
      <c r="O22" s="17"/>
      <c r="P22" s="8">
        <f t="shared" si="2"/>
        <v>8.9166666666666679</v>
      </c>
      <c r="Q22" s="8">
        <f t="shared" si="3"/>
        <v>8.9166666666666679</v>
      </c>
      <c r="R22" s="8">
        <f t="shared" si="4"/>
        <v>0</v>
      </c>
    </row>
    <row r="23" spans="1:18">
      <c r="A23" s="16">
        <v>46101</v>
      </c>
      <c r="B23">
        <f t="shared" si="0"/>
        <v>2026</v>
      </c>
      <c r="C23" t="str">
        <f t="shared" si="5"/>
        <v>março</v>
      </c>
      <c r="D23" t="s">
        <v>83</v>
      </c>
      <c r="E23" t="str">
        <f>IFERROR(VLOOKUP(D23,Cadastro!$B$4:$H$100,2,FALSE),"")</f>
        <v>Enfermagem</v>
      </c>
      <c r="F23" t="str">
        <f>IFERROR(VLOOKUP(D23,Cadastro!$B$4:$H$100,3,FALSE),"")</f>
        <v>R1</v>
      </c>
      <c r="G23" t="s">
        <v>202</v>
      </c>
      <c r="H23" t="s">
        <v>96</v>
      </c>
      <c r="I23" t="s">
        <v>36</v>
      </c>
      <c r="J23" s="17">
        <v>0.2951388888888889</v>
      </c>
      <c r="K23" s="17">
        <v>0.5</v>
      </c>
      <c r="L23" s="17">
        <v>0.56597222222222221</v>
      </c>
      <c r="M23" s="17">
        <v>0.72916666666666663</v>
      </c>
      <c r="N23" s="17"/>
      <c r="O23" s="17"/>
      <c r="P23" s="8">
        <f t="shared" si="2"/>
        <v>8.8333333333333321</v>
      </c>
      <c r="Q23" s="8">
        <f t="shared" si="3"/>
        <v>8.8333333333333321</v>
      </c>
      <c r="R23" s="8">
        <f t="shared" si="4"/>
        <v>0</v>
      </c>
    </row>
    <row r="24" spans="1:18">
      <c r="A24" s="19">
        <v>46102</v>
      </c>
      <c r="B24" s="20">
        <f t="shared" si="0"/>
        <v>2026</v>
      </c>
      <c r="C24" s="20" t="str">
        <f t="shared" si="5"/>
        <v>março</v>
      </c>
      <c r="D24" s="20" t="s">
        <v>83</v>
      </c>
      <c r="E24" s="20" t="str">
        <f>IFERROR(VLOOKUP(D24,Cadastro!$B$4:$H$100,2,FALSE),"")</f>
        <v>Enfermagem</v>
      </c>
      <c r="F24" s="20" t="str">
        <f>IFERROR(VLOOKUP(D24,Cadastro!$B$4:$H$100,3,FALSE),"")</f>
        <v>R1</v>
      </c>
      <c r="G24" s="20" t="s">
        <v>202</v>
      </c>
      <c r="H24" s="20" t="s">
        <v>96</v>
      </c>
      <c r="I24" s="20" t="s">
        <v>36</v>
      </c>
      <c r="J24" s="18"/>
      <c r="K24" s="18"/>
      <c r="L24" s="18"/>
      <c r="M24" s="18"/>
      <c r="N24" s="18"/>
      <c r="O24" s="18"/>
      <c r="P24" s="21">
        <f t="shared" si="2"/>
        <v>0</v>
      </c>
      <c r="Q24" s="21">
        <f t="shared" si="3"/>
        <v>0</v>
      </c>
      <c r="R24" s="21">
        <f t="shared" si="4"/>
        <v>0</v>
      </c>
    </row>
    <row r="25" spans="1:18">
      <c r="A25" s="19">
        <v>46103</v>
      </c>
      <c r="B25" s="20">
        <f t="shared" si="0"/>
        <v>2026</v>
      </c>
      <c r="C25" s="20" t="str">
        <f t="shared" si="5"/>
        <v>março</v>
      </c>
      <c r="D25" s="20" t="s">
        <v>83</v>
      </c>
      <c r="E25" s="20" t="str">
        <f>IFERROR(VLOOKUP(D25,Cadastro!$B$4:$H$100,2,FALSE),"")</f>
        <v>Enfermagem</v>
      </c>
      <c r="F25" s="20" t="str">
        <f>IFERROR(VLOOKUP(D25,Cadastro!$B$4:$H$100,3,FALSE),"")</f>
        <v>R1</v>
      </c>
      <c r="G25" s="20" t="s">
        <v>202</v>
      </c>
      <c r="H25" s="20" t="s">
        <v>96</v>
      </c>
      <c r="I25" s="20" t="s">
        <v>36</v>
      </c>
      <c r="J25" s="18"/>
      <c r="K25" s="18"/>
      <c r="L25" s="18"/>
      <c r="M25" s="18"/>
      <c r="N25" s="18"/>
      <c r="O25" s="18"/>
      <c r="P25" s="21">
        <f t="shared" si="2"/>
        <v>0</v>
      </c>
      <c r="Q25" s="21">
        <f t="shared" si="3"/>
        <v>0</v>
      </c>
      <c r="R25" s="21">
        <f t="shared" si="4"/>
        <v>0</v>
      </c>
    </row>
    <row r="26" spans="1:18">
      <c r="A26" s="16">
        <v>46104</v>
      </c>
      <c r="B26">
        <f t="shared" si="0"/>
        <v>2026</v>
      </c>
      <c r="C26" t="str">
        <f t="shared" si="5"/>
        <v>março</v>
      </c>
      <c r="D26" t="s">
        <v>83</v>
      </c>
      <c r="E26" t="str">
        <f>IFERROR(VLOOKUP(D26,Cadastro!$B$4:$H$100,2,FALSE),"")</f>
        <v>Enfermagem</v>
      </c>
      <c r="F26" t="str">
        <f>IFERROR(VLOOKUP(D26,Cadastro!$B$4:$H$100,3,FALSE),"")</f>
        <v>R1</v>
      </c>
      <c r="G26" t="s">
        <v>202</v>
      </c>
      <c r="H26" t="s">
        <v>96</v>
      </c>
      <c r="I26" t="s">
        <v>36</v>
      </c>
      <c r="J26" s="17">
        <v>0.29166666666666669</v>
      </c>
      <c r="K26" s="17">
        <v>0.5</v>
      </c>
      <c r="L26" s="17">
        <v>0.5625</v>
      </c>
      <c r="M26" s="17">
        <v>0.72916666666666663</v>
      </c>
      <c r="N26" s="17"/>
      <c r="O26" s="17"/>
      <c r="P26" s="8">
        <f t="shared" si="2"/>
        <v>9</v>
      </c>
      <c r="Q26" s="8">
        <f t="shared" si="3"/>
        <v>9</v>
      </c>
      <c r="R26" s="8">
        <f t="shared" si="4"/>
        <v>0</v>
      </c>
    </row>
    <row r="27" spans="1:18">
      <c r="A27" s="16">
        <v>46105</v>
      </c>
      <c r="B27">
        <f t="shared" si="0"/>
        <v>2026</v>
      </c>
      <c r="C27" t="str">
        <f t="shared" si="5"/>
        <v>março</v>
      </c>
      <c r="D27" t="s">
        <v>83</v>
      </c>
      <c r="E27" t="str">
        <f>IFERROR(VLOOKUP(D27,Cadastro!$B$4:$H$100,2,FALSE),"")</f>
        <v>Enfermagem</v>
      </c>
      <c r="F27" t="str">
        <f>IFERROR(VLOOKUP(D27,Cadastro!$B$4:$H$100,3,FALSE),"")</f>
        <v>R1</v>
      </c>
      <c r="G27" t="s">
        <v>202</v>
      </c>
      <c r="H27" t="s">
        <v>96</v>
      </c>
      <c r="I27" t="s">
        <v>36</v>
      </c>
      <c r="J27" s="17">
        <v>0.28472222222222221</v>
      </c>
      <c r="K27" s="17">
        <v>0.5</v>
      </c>
      <c r="L27" s="17">
        <v>0.57291666666666663</v>
      </c>
      <c r="M27" s="17">
        <v>0.72916666666666663</v>
      </c>
      <c r="N27" s="17">
        <v>0.75</v>
      </c>
      <c r="O27" s="17">
        <v>0.87152777777777779</v>
      </c>
      <c r="P27" s="8">
        <f t="shared" si="2"/>
        <v>11.833333333333336</v>
      </c>
      <c r="Q27" s="8">
        <f t="shared" si="3"/>
        <v>11.833333333333336</v>
      </c>
      <c r="R27" s="8">
        <f t="shared" si="4"/>
        <v>0</v>
      </c>
    </row>
    <row r="28" spans="1:18">
      <c r="A28" s="16">
        <v>46106</v>
      </c>
      <c r="B28">
        <f t="shared" si="0"/>
        <v>2026</v>
      </c>
      <c r="C28" t="str">
        <f t="shared" si="5"/>
        <v>março</v>
      </c>
      <c r="D28" t="s">
        <v>83</v>
      </c>
      <c r="E28" t="str">
        <f>IFERROR(VLOOKUP(D28,Cadastro!$B$4:$H$100,2,FALSE),"")</f>
        <v>Enfermagem</v>
      </c>
      <c r="F28" t="str">
        <f>IFERROR(VLOOKUP(D28,Cadastro!$B$4:$H$100,3,FALSE),"")</f>
        <v>R1</v>
      </c>
      <c r="G28" t="s">
        <v>202</v>
      </c>
      <c r="H28" t="s">
        <v>96</v>
      </c>
      <c r="I28" t="s">
        <v>36</v>
      </c>
      <c r="J28" s="17">
        <v>0.30208333333333331</v>
      </c>
      <c r="K28" s="17">
        <v>0.6645833333333333</v>
      </c>
      <c r="L28" s="17"/>
      <c r="M28" s="17"/>
      <c r="N28" s="17"/>
      <c r="O28" s="17"/>
      <c r="P28" s="8">
        <f t="shared" si="2"/>
        <v>8.6999999999999993</v>
      </c>
      <c r="Q28" s="8">
        <f t="shared" si="3"/>
        <v>8.6999999999999993</v>
      </c>
      <c r="R28" s="8">
        <f t="shared" si="4"/>
        <v>0</v>
      </c>
    </row>
    <row r="29" spans="1:18">
      <c r="A29" s="16">
        <v>46107</v>
      </c>
      <c r="B29">
        <f t="shared" si="0"/>
        <v>2026</v>
      </c>
      <c r="C29" t="str">
        <f t="shared" si="5"/>
        <v>março</v>
      </c>
      <c r="D29" t="s">
        <v>83</v>
      </c>
      <c r="E29" t="str">
        <f>IFERROR(VLOOKUP(D29,Cadastro!$B$4:$H$100,2,FALSE),"")</f>
        <v>Enfermagem</v>
      </c>
      <c r="F29" t="str">
        <f>IFERROR(VLOOKUP(D29,Cadastro!$B$4:$H$100,3,FALSE),"")</f>
        <v>R1</v>
      </c>
      <c r="G29" t="s">
        <v>202</v>
      </c>
      <c r="H29" t="s">
        <v>96</v>
      </c>
      <c r="I29" t="s">
        <v>36</v>
      </c>
      <c r="J29" s="17">
        <v>0.2951388888888889</v>
      </c>
      <c r="K29" s="17">
        <v>0.50416666666666665</v>
      </c>
      <c r="L29" s="17">
        <v>0.56458333333333333</v>
      </c>
      <c r="M29" s="17">
        <v>0.74305555555555547</v>
      </c>
      <c r="N29" s="17"/>
      <c r="O29" s="17"/>
      <c r="P29" s="8">
        <f t="shared" si="2"/>
        <v>9.2999999999999972</v>
      </c>
      <c r="Q29" s="8">
        <f t="shared" si="3"/>
        <v>9.2999999999999972</v>
      </c>
      <c r="R29" s="8">
        <f t="shared" si="4"/>
        <v>0</v>
      </c>
    </row>
    <row r="30" spans="1:18">
      <c r="A30" s="19">
        <v>46108</v>
      </c>
      <c r="B30" s="20">
        <f t="shared" si="0"/>
        <v>2026</v>
      </c>
      <c r="C30" s="20" t="str">
        <f t="shared" si="5"/>
        <v>março</v>
      </c>
      <c r="D30" s="20" t="s">
        <v>83</v>
      </c>
      <c r="E30" s="20" t="str">
        <f>IFERROR(VLOOKUP(D30,Cadastro!$B$4:$H$100,2,FALSE),"")</f>
        <v>Enfermagem</v>
      </c>
      <c r="F30" s="20" t="str">
        <f>IFERROR(VLOOKUP(D30,Cadastro!$B$4:$H$100,3,FALSE),"")</f>
        <v>R1</v>
      </c>
      <c r="G30" s="20" t="s">
        <v>202</v>
      </c>
      <c r="H30" s="20" t="s">
        <v>96</v>
      </c>
      <c r="I30" s="20" t="s">
        <v>36</v>
      </c>
      <c r="J30" s="18">
        <v>0.28888888888888892</v>
      </c>
      <c r="K30" s="18">
        <v>0.5</v>
      </c>
      <c r="L30" s="18">
        <v>0.5625</v>
      </c>
      <c r="M30" s="18">
        <v>0.73611111111111116</v>
      </c>
      <c r="N30" s="18"/>
      <c r="O30" s="18"/>
      <c r="P30" s="21">
        <f t="shared" si="2"/>
        <v>9.2333333333333343</v>
      </c>
      <c r="Q30" s="21">
        <f t="shared" si="3"/>
        <v>9.2333333333333343</v>
      </c>
      <c r="R30" s="21">
        <f t="shared" si="4"/>
        <v>0</v>
      </c>
    </row>
    <row r="31" spans="1:18">
      <c r="A31" s="19">
        <v>46109</v>
      </c>
      <c r="B31" s="20">
        <f t="shared" si="0"/>
        <v>2026</v>
      </c>
      <c r="C31" s="20" t="str">
        <f t="shared" si="5"/>
        <v>março</v>
      </c>
      <c r="D31" s="20" t="s">
        <v>83</v>
      </c>
      <c r="E31" s="20" t="str">
        <f>IFERROR(VLOOKUP(D31,Cadastro!$B$4:$H$100,2,FALSE),"")</f>
        <v>Enfermagem</v>
      </c>
      <c r="F31" s="20" t="str">
        <f>IFERROR(VLOOKUP(D31,Cadastro!$B$4:$H$100,3,FALSE),"")</f>
        <v>R1</v>
      </c>
      <c r="G31" s="20" t="s">
        <v>202</v>
      </c>
      <c r="H31" s="20" t="s">
        <v>96</v>
      </c>
      <c r="I31" s="20" t="s">
        <v>36</v>
      </c>
      <c r="J31" s="18"/>
      <c r="K31" s="18"/>
      <c r="L31" s="18"/>
      <c r="M31" s="18"/>
      <c r="N31" s="18"/>
      <c r="O31" s="18"/>
      <c r="P31" s="21">
        <f t="shared" si="2"/>
        <v>0</v>
      </c>
      <c r="Q31" s="21">
        <f t="shared" si="3"/>
        <v>0</v>
      </c>
      <c r="R31" s="21">
        <f t="shared" si="4"/>
        <v>0</v>
      </c>
    </row>
    <row r="32" spans="1:18">
      <c r="A32" s="16">
        <v>46110</v>
      </c>
      <c r="B32">
        <f t="shared" si="0"/>
        <v>2026</v>
      </c>
      <c r="C32" t="str">
        <f t="shared" si="5"/>
        <v>março</v>
      </c>
      <c r="D32" t="s">
        <v>83</v>
      </c>
      <c r="E32" t="str">
        <f>IFERROR(VLOOKUP(D32,Cadastro!$B$4:$H$100,2,FALSE),"")</f>
        <v>Enfermagem</v>
      </c>
      <c r="F32" t="str">
        <f>IFERROR(VLOOKUP(D32,Cadastro!$B$4:$H$100,3,FALSE),"")</f>
        <v>R1</v>
      </c>
      <c r="G32" t="s">
        <v>202</v>
      </c>
      <c r="H32" t="s">
        <v>96</v>
      </c>
      <c r="I32" t="s">
        <v>36</v>
      </c>
      <c r="J32" s="18"/>
      <c r="K32" s="18"/>
      <c r="L32" s="18"/>
      <c r="M32" s="18"/>
      <c r="N32" s="18"/>
      <c r="O32" s="18"/>
      <c r="P32" s="8">
        <f t="shared" si="2"/>
        <v>0</v>
      </c>
      <c r="Q32" s="8">
        <f t="shared" si="3"/>
        <v>0</v>
      </c>
      <c r="R32" s="8">
        <f t="shared" si="4"/>
        <v>0</v>
      </c>
    </row>
    <row r="33" spans="1:18">
      <c r="A33" s="16">
        <v>46111</v>
      </c>
      <c r="B33">
        <f t="shared" si="0"/>
        <v>2026</v>
      </c>
      <c r="C33" t="str">
        <f t="shared" si="5"/>
        <v>março</v>
      </c>
      <c r="D33" t="s">
        <v>83</v>
      </c>
      <c r="E33" t="str">
        <f>IFERROR(VLOOKUP(D33,Cadastro!$B$4:$H$100,2,FALSE),"")</f>
        <v>Enfermagem</v>
      </c>
      <c r="F33" t="str">
        <f>IFERROR(VLOOKUP(D33,Cadastro!$B$4:$H$100,3,FALSE),"")</f>
        <v>R1</v>
      </c>
      <c r="G33" t="s">
        <v>202</v>
      </c>
      <c r="H33" t="s">
        <v>96</v>
      </c>
      <c r="I33" t="s">
        <v>36</v>
      </c>
      <c r="J33" s="17">
        <v>0.30208333333333331</v>
      </c>
      <c r="K33" s="17">
        <v>0.50347222222222221</v>
      </c>
      <c r="L33" s="17">
        <v>0.55972222222222223</v>
      </c>
      <c r="M33" s="17">
        <v>0.7284722222222223</v>
      </c>
      <c r="N33" s="17"/>
      <c r="O33" s="17"/>
      <c r="P33" s="8">
        <f t="shared" si="2"/>
        <v>8.8833333333333364</v>
      </c>
      <c r="Q33" s="8">
        <f t="shared" si="3"/>
        <v>8.8833333333333364</v>
      </c>
      <c r="R33" s="8">
        <f t="shared" si="4"/>
        <v>0</v>
      </c>
    </row>
    <row r="34" spans="1:18">
      <c r="A34" s="16">
        <v>46112</v>
      </c>
      <c r="B34">
        <f t="shared" si="0"/>
        <v>2026</v>
      </c>
      <c r="C34" t="str">
        <f t="shared" si="5"/>
        <v>março</v>
      </c>
      <c r="D34" t="s">
        <v>83</v>
      </c>
      <c r="E34" t="str">
        <f>IFERROR(VLOOKUP(D34,Cadastro!$B$4:$H$100,2,FALSE),"")</f>
        <v>Enfermagem</v>
      </c>
      <c r="F34" t="str">
        <f>IFERROR(VLOOKUP(D34,Cadastro!$B$4:$H$100,3,FALSE),"")</f>
        <v>R1</v>
      </c>
      <c r="G34" t="s">
        <v>202</v>
      </c>
      <c r="H34" t="s">
        <v>96</v>
      </c>
      <c r="I34" t="s">
        <v>36</v>
      </c>
      <c r="J34" s="17">
        <v>0.28472222222222221</v>
      </c>
      <c r="K34" s="17">
        <v>0.5</v>
      </c>
      <c r="L34" s="17">
        <v>0.55555555555555558</v>
      </c>
      <c r="M34" s="17">
        <v>0.73263888888888884</v>
      </c>
      <c r="N34" s="17">
        <v>0.75</v>
      </c>
      <c r="O34" s="17">
        <v>0.86111111111111116</v>
      </c>
      <c r="P34" s="8">
        <f t="shared" si="2"/>
        <v>12.083333333333332</v>
      </c>
      <c r="Q34" s="8">
        <f t="shared" si="3"/>
        <v>12.083333333333332</v>
      </c>
      <c r="R34" s="8">
        <f t="shared" si="4"/>
        <v>0</v>
      </c>
    </row>
    <row r="35" spans="1:18">
      <c r="A35" s="6"/>
      <c r="B35" t="str">
        <f t="shared" si="0"/>
        <v/>
      </c>
      <c r="C35" t="str">
        <f t="shared" si="5"/>
        <v/>
      </c>
      <c r="E35" t="str">
        <f>IFERROR(VLOOKUP(D35,Cadastro!$B$4:$H$100,2,FALSE),"")</f>
        <v/>
      </c>
      <c r="F35" t="str">
        <f>IFERROR(VLOOKUP(D35,Cadastro!$B$4:$H$100,3,FALSE),"")</f>
        <v/>
      </c>
      <c r="J35" s="7"/>
      <c r="K35" s="7"/>
      <c r="L35" s="7"/>
      <c r="M35" s="7"/>
      <c r="N35" s="7"/>
      <c r="O35" s="7"/>
      <c r="P35" s="8">
        <f t="shared" si="2"/>
        <v>0</v>
      </c>
      <c r="Q35" s="8">
        <f t="shared" si="3"/>
        <v>0</v>
      </c>
      <c r="R35" s="8">
        <f t="shared" si="4"/>
        <v>0</v>
      </c>
    </row>
    <row r="36" spans="1:18">
      <c r="A36" s="16">
        <v>46082</v>
      </c>
      <c r="B36" s="22">
        <f t="shared" si="0"/>
        <v>2026</v>
      </c>
      <c r="C36" t="str">
        <f t="shared" si="5"/>
        <v>março</v>
      </c>
      <c r="D36" t="s">
        <v>84</v>
      </c>
      <c r="E36" t="str">
        <f>IFERROR(VLOOKUP(D36,Cadastro!$B$4:$H$100,2,FALSE),"")</f>
        <v>Enfermagem</v>
      </c>
      <c r="F36" t="str">
        <f>IFERROR(VLOOKUP(D36,Cadastro!$B$4:$H$100,3,FALSE),"")</f>
        <v>R1</v>
      </c>
      <c r="G36" t="s">
        <v>202</v>
      </c>
      <c r="H36" t="s">
        <v>96</v>
      </c>
      <c r="I36" t="s">
        <v>36</v>
      </c>
      <c r="J36" s="7"/>
      <c r="K36" s="7"/>
      <c r="L36" s="7"/>
      <c r="M36" s="7"/>
      <c r="N36" s="7"/>
      <c r="O36" s="7"/>
      <c r="P36" s="8">
        <f t="shared" si="2"/>
        <v>0</v>
      </c>
      <c r="Q36" s="8">
        <f t="shared" si="3"/>
        <v>0</v>
      </c>
      <c r="R36" s="8">
        <f t="shared" si="4"/>
        <v>0</v>
      </c>
    </row>
    <row r="37" spans="1:18">
      <c r="A37" s="16">
        <v>46083</v>
      </c>
      <c r="B37" s="22">
        <f t="shared" si="0"/>
        <v>2026</v>
      </c>
      <c r="C37" t="str">
        <f t="shared" si="5"/>
        <v>março</v>
      </c>
      <c r="D37" t="s">
        <v>84</v>
      </c>
      <c r="E37" t="str">
        <f>IFERROR(VLOOKUP(D37,Cadastro!$B$4:$H$100,2,FALSE),"")</f>
        <v>Enfermagem</v>
      </c>
      <c r="F37" t="str">
        <f>IFERROR(VLOOKUP(D37,Cadastro!$B$4:$H$100,3,FALSE),"")</f>
        <v>R1</v>
      </c>
      <c r="G37" t="s">
        <v>202</v>
      </c>
      <c r="H37" t="s">
        <v>96</v>
      </c>
      <c r="I37" t="s">
        <v>36</v>
      </c>
      <c r="J37" s="7"/>
      <c r="K37" s="7"/>
      <c r="L37" s="7"/>
      <c r="M37" s="7"/>
      <c r="N37" s="7"/>
      <c r="O37" s="7"/>
      <c r="P37" s="8">
        <f t="shared" si="2"/>
        <v>0</v>
      </c>
      <c r="Q37" s="8">
        <f t="shared" si="3"/>
        <v>0</v>
      </c>
      <c r="R37" s="8">
        <f t="shared" si="4"/>
        <v>0</v>
      </c>
    </row>
    <row r="38" spans="1:18">
      <c r="A38" s="16">
        <v>46084</v>
      </c>
      <c r="B38" s="22">
        <f t="shared" si="0"/>
        <v>2026</v>
      </c>
      <c r="C38" t="str">
        <f t="shared" si="5"/>
        <v>março</v>
      </c>
      <c r="D38" t="s">
        <v>84</v>
      </c>
      <c r="E38" t="str">
        <f>IFERROR(VLOOKUP(D38,Cadastro!$B$4:$H$100,2,FALSE),"")</f>
        <v>Enfermagem</v>
      </c>
      <c r="F38" t="str">
        <f>IFERROR(VLOOKUP(D38,Cadastro!$B$4:$H$100,3,FALSE),"")</f>
        <v>R1</v>
      </c>
      <c r="G38" t="s">
        <v>202</v>
      </c>
      <c r="H38" t="s">
        <v>96</v>
      </c>
      <c r="I38" t="s">
        <v>36</v>
      </c>
      <c r="J38" s="7"/>
      <c r="K38" s="7"/>
      <c r="L38" s="7"/>
      <c r="M38" s="7"/>
      <c r="N38" s="7"/>
      <c r="O38" s="7"/>
      <c r="P38" s="8">
        <f t="shared" si="2"/>
        <v>0</v>
      </c>
      <c r="Q38" s="8">
        <f t="shared" si="3"/>
        <v>0</v>
      </c>
      <c r="R38" s="8">
        <f t="shared" si="4"/>
        <v>0</v>
      </c>
    </row>
    <row r="39" spans="1:18">
      <c r="A39" s="16">
        <v>46085</v>
      </c>
      <c r="B39" s="22">
        <f t="shared" si="0"/>
        <v>2026</v>
      </c>
      <c r="C39" t="str">
        <f t="shared" si="5"/>
        <v>março</v>
      </c>
      <c r="D39" t="s">
        <v>84</v>
      </c>
      <c r="E39" t="str">
        <f>IFERROR(VLOOKUP(D39,Cadastro!$B$4:$H$100,2,FALSE),"")</f>
        <v>Enfermagem</v>
      </c>
      <c r="F39" t="str">
        <f>IFERROR(VLOOKUP(D39,Cadastro!$B$4:$H$100,3,FALSE),"")</f>
        <v>R1</v>
      </c>
      <c r="G39" t="s">
        <v>202</v>
      </c>
      <c r="H39" t="s">
        <v>96</v>
      </c>
      <c r="I39" t="s">
        <v>36</v>
      </c>
      <c r="J39" s="7"/>
      <c r="K39" s="7"/>
      <c r="L39" s="7"/>
      <c r="M39" s="7"/>
      <c r="N39" s="7"/>
      <c r="O39" s="7"/>
      <c r="P39" s="8">
        <f t="shared" si="2"/>
        <v>0</v>
      </c>
      <c r="Q39" s="8">
        <f t="shared" si="3"/>
        <v>0</v>
      </c>
      <c r="R39" s="8">
        <f t="shared" si="4"/>
        <v>0</v>
      </c>
    </row>
    <row r="40" spans="1:18">
      <c r="A40" s="16">
        <v>46086</v>
      </c>
      <c r="B40" s="22">
        <f t="shared" si="0"/>
        <v>2026</v>
      </c>
      <c r="C40" t="str">
        <f t="shared" si="5"/>
        <v>março</v>
      </c>
      <c r="D40" t="s">
        <v>84</v>
      </c>
      <c r="E40" t="str">
        <f>IFERROR(VLOOKUP(D40,Cadastro!$B$4:$H$100,2,FALSE),"")</f>
        <v>Enfermagem</v>
      </c>
      <c r="F40" t="str">
        <f>IFERROR(VLOOKUP(D40,Cadastro!$B$4:$H$100,3,FALSE),"")</f>
        <v>R1</v>
      </c>
      <c r="G40" t="s">
        <v>202</v>
      </c>
      <c r="H40" t="s">
        <v>96</v>
      </c>
      <c r="I40" t="s">
        <v>36</v>
      </c>
      <c r="J40" s="7"/>
      <c r="K40" s="7"/>
      <c r="L40" s="7"/>
      <c r="M40" s="7"/>
      <c r="N40" s="7"/>
      <c r="O40" s="7"/>
      <c r="P40" s="8">
        <f t="shared" si="2"/>
        <v>0</v>
      </c>
      <c r="Q40" s="8">
        <f t="shared" si="3"/>
        <v>0</v>
      </c>
      <c r="R40" s="8">
        <f t="shared" si="4"/>
        <v>0</v>
      </c>
    </row>
    <row r="41" spans="1:18">
      <c r="A41" s="16">
        <v>46087</v>
      </c>
      <c r="B41" s="22">
        <f t="shared" si="0"/>
        <v>2026</v>
      </c>
      <c r="C41" t="str">
        <f t="shared" si="5"/>
        <v>março</v>
      </c>
      <c r="D41" t="s">
        <v>84</v>
      </c>
      <c r="E41" t="str">
        <f>IFERROR(VLOOKUP(D41,Cadastro!$B$4:$H$100,2,FALSE),"")</f>
        <v>Enfermagem</v>
      </c>
      <c r="F41" t="str">
        <f>IFERROR(VLOOKUP(D41,Cadastro!$B$4:$H$100,3,FALSE),"")</f>
        <v>R1</v>
      </c>
      <c r="G41" t="s">
        <v>202</v>
      </c>
      <c r="H41" t="s">
        <v>96</v>
      </c>
      <c r="I41" t="s">
        <v>36</v>
      </c>
      <c r="J41" s="7"/>
      <c r="K41" s="7"/>
      <c r="L41" s="7"/>
      <c r="M41" s="7"/>
      <c r="N41" s="7"/>
      <c r="O41" s="7"/>
      <c r="P41" s="8">
        <f t="shared" si="2"/>
        <v>0</v>
      </c>
      <c r="Q41" s="8">
        <f t="shared" si="3"/>
        <v>0</v>
      </c>
      <c r="R41" s="8">
        <f t="shared" si="4"/>
        <v>0</v>
      </c>
    </row>
    <row r="42" spans="1:18">
      <c r="A42" s="16">
        <v>46088</v>
      </c>
      <c r="B42" s="22">
        <f t="shared" si="0"/>
        <v>2026</v>
      </c>
      <c r="C42" t="str">
        <f t="shared" si="5"/>
        <v>março</v>
      </c>
      <c r="D42" t="s">
        <v>84</v>
      </c>
      <c r="E42" t="str">
        <f>IFERROR(VLOOKUP(D42,Cadastro!$B$4:$H$100,2,FALSE),"")</f>
        <v>Enfermagem</v>
      </c>
      <c r="F42" t="str">
        <f>IFERROR(VLOOKUP(D42,Cadastro!$B$4:$H$100,3,FALSE),"")</f>
        <v>R1</v>
      </c>
      <c r="G42" t="s">
        <v>202</v>
      </c>
      <c r="H42" t="s">
        <v>96</v>
      </c>
      <c r="I42" t="s">
        <v>36</v>
      </c>
      <c r="J42" s="7"/>
      <c r="K42" s="7"/>
      <c r="L42" s="7"/>
      <c r="M42" s="7"/>
      <c r="N42" s="7"/>
      <c r="O42" s="7"/>
      <c r="P42" s="8">
        <f t="shared" si="2"/>
        <v>0</v>
      </c>
      <c r="Q42" s="8">
        <f t="shared" si="3"/>
        <v>0</v>
      </c>
      <c r="R42" s="8">
        <f t="shared" si="4"/>
        <v>0</v>
      </c>
    </row>
    <row r="43" spans="1:18">
      <c r="A43" s="16">
        <v>46089</v>
      </c>
      <c r="B43" s="22">
        <f t="shared" si="0"/>
        <v>2026</v>
      </c>
      <c r="C43" t="str">
        <f t="shared" si="5"/>
        <v>março</v>
      </c>
      <c r="D43" t="s">
        <v>84</v>
      </c>
      <c r="E43" t="str">
        <f>IFERROR(VLOOKUP(D43,Cadastro!$B$4:$H$100,2,FALSE),"")</f>
        <v>Enfermagem</v>
      </c>
      <c r="F43" t="str">
        <f>IFERROR(VLOOKUP(D43,Cadastro!$B$4:$H$100,3,FALSE),"")</f>
        <v>R1</v>
      </c>
      <c r="G43" t="s">
        <v>202</v>
      </c>
      <c r="H43" t="s">
        <v>96</v>
      </c>
      <c r="I43" t="s">
        <v>36</v>
      </c>
      <c r="J43" s="7"/>
      <c r="K43" s="7"/>
      <c r="L43" s="7"/>
      <c r="M43" s="7"/>
      <c r="N43" s="7"/>
      <c r="O43" s="7"/>
      <c r="P43" s="8">
        <f t="shared" si="2"/>
        <v>0</v>
      </c>
      <c r="Q43" s="8">
        <f t="shared" si="3"/>
        <v>0</v>
      </c>
      <c r="R43" s="8">
        <f t="shared" si="4"/>
        <v>0</v>
      </c>
    </row>
    <row r="44" spans="1:18">
      <c r="A44" s="16">
        <v>46090</v>
      </c>
      <c r="B44" s="22">
        <f t="shared" si="0"/>
        <v>2026</v>
      </c>
      <c r="C44" s="22" t="str">
        <f t="shared" si="5"/>
        <v>março</v>
      </c>
      <c r="D44" t="s">
        <v>84</v>
      </c>
      <c r="E44" t="str">
        <f>IFERROR(VLOOKUP(D44,[1]Cadastro!$B$4:$H$100,2,FALSE),"")</f>
        <v>Enfermagem</v>
      </c>
      <c r="F44" t="str">
        <f>IFERROR(VLOOKUP(D44,[1]Cadastro!$B$4:$H$100,3,FALSE),"")</f>
        <v>R1</v>
      </c>
      <c r="G44" t="s">
        <v>202</v>
      </c>
      <c r="H44" t="s">
        <v>96</v>
      </c>
      <c r="I44" t="s">
        <v>36</v>
      </c>
      <c r="J44" s="30">
        <v>0.33333333333333331</v>
      </c>
      <c r="K44" s="30">
        <v>0.70833333333333337</v>
      </c>
      <c r="L44" s="22"/>
      <c r="M44" s="22"/>
      <c r="N44" s="22"/>
      <c r="O44" s="22"/>
      <c r="P44" s="8">
        <f t="shared" si="2"/>
        <v>9.0000000000000018</v>
      </c>
      <c r="Q44" s="8">
        <f t="shared" si="3"/>
        <v>9.0000000000000018</v>
      </c>
      <c r="R44" s="8">
        <f t="shared" si="4"/>
        <v>0</v>
      </c>
    </row>
    <row r="45" spans="1:18">
      <c r="A45" s="16">
        <v>46091</v>
      </c>
      <c r="B45" s="22">
        <f t="shared" si="0"/>
        <v>2026</v>
      </c>
      <c r="C45" s="22" t="str">
        <f t="shared" si="5"/>
        <v>março</v>
      </c>
      <c r="D45" t="s">
        <v>84</v>
      </c>
      <c r="E45" t="str">
        <f>IFERROR(VLOOKUP(D45,[1]Cadastro!$B$4:$H$100,2,FALSE),"")</f>
        <v>Enfermagem</v>
      </c>
      <c r="F45" t="str">
        <f>IFERROR(VLOOKUP(D45,[1]Cadastro!$B$4:$H$100,3,FALSE),"")</f>
        <v>R1</v>
      </c>
      <c r="G45" t="s">
        <v>202</v>
      </c>
      <c r="H45" t="s">
        <v>96</v>
      </c>
      <c r="I45" t="s">
        <v>36</v>
      </c>
      <c r="J45" s="30">
        <v>0.33333333333333331</v>
      </c>
      <c r="K45" s="30">
        <v>0.70833333333333337</v>
      </c>
      <c r="L45" s="22"/>
      <c r="M45" s="22"/>
      <c r="N45" s="22"/>
      <c r="O45" s="22"/>
      <c r="P45" s="8">
        <f t="shared" si="2"/>
        <v>9.0000000000000018</v>
      </c>
      <c r="Q45" s="8">
        <f t="shared" si="3"/>
        <v>9.0000000000000018</v>
      </c>
      <c r="R45" s="8">
        <f t="shared" si="4"/>
        <v>0</v>
      </c>
    </row>
    <row r="46" spans="1:18">
      <c r="A46" s="16">
        <v>46092</v>
      </c>
      <c r="B46" s="22">
        <f t="shared" si="0"/>
        <v>2026</v>
      </c>
      <c r="C46" s="22" t="str">
        <f t="shared" si="5"/>
        <v>março</v>
      </c>
      <c r="D46" t="s">
        <v>84</v>
      </c>
      <c r="E46" t="str">
        <f>IFERROR(VLOOKUP(D46,[1]Cadastro!$B$4:$H$100,2,FALSE),"")</f>
        <v>Enfermagem</v>
      </c>
      <c r="F46" t="str">
        <f>IFERROR(VLOOKUP(D46,[1]Cadastro!$B$4:$H$100,3,FALSE),"")</f>
        <v>R1</v>
      </c>
      <c r="G46" t="s">
        <v>202</v>
      </c>
      <c r="H46" t="s">
        <v>96</v>
      </c>
      <c r="I46" t="s">
        <v>36</v>
      </c>
      <c r="J46" s="30">
        <v>0.33333333333333298</v>
      </c>
      <c r="K46" s="30">
        <v>0.70833333333333304</v>
      </c>
      <c r="L46" s="22"/>
      <c r="M46" s="22"/>
      <c r="N46" s="22"/>
      <c r="O46" s="22"/>
      <c r="P46" s="8">
        <f t="shared" si="2"/>
        <v>9.0000000000000018</v>
      </c>
      <c r="Q46" s="8">
        <f t="shared" si="3"/>
        <v>9.0000000000000018</v>
      </c>
      <c r="R46" s="8">
        <f t="shared" si="4"/>
        <v>0</v>
      </c>
    </row>
    <row r="47" spans="1:18">
      <c r="A47" s="16">
        <v>46093</v>
      </c>
      <c r="B47" s="22">
        <f t="shared" si="0"/>
        <v>2026</v>
      </c>
      <c r="C47" s="22" t="str">
        <f t="shared" si="5"/>
        <v>março</v>
      </c>
      <c r="D47" t="s">
        <v>84</v>
      </c>
      <c r="E47" t="str">
        <f>IFERROR(VLOOKUP(D47,[1]Cadastro!$B$4:$H$100,2,FALSE),"")</f>
        <v>Enfermagem</v>
      </c>
      <c r="F47" t="str">
        <f>IFERROR(VLOOKUP(D47,[1]Cadastro!$B$4:$H$100,3,FALSE),"")</f>
        <v>R1</v>
      </c>
      <c r="G47" t="s">
        <v>202</v>
      </c>
      <c r="H47" t="s">
        <v>96</v>
      </c>
      <c r="I47" t="s">
        <v>36</v>
      </c>
      <c r="J47" s="30">
        <v>0.33333333333333298</v>
      </c>
      <c r="K47" s="30">
        <v>0.70833333333333304</v>
      </c>
      <c r="L47" s="22"/>
      <c r="M47" s="22"/>
      <c r="N47" s="22"/>
      <c r="O47" s="22"/>
      <c r="P47" s="8">
        <f t="shared" si="2"/>
        <v>9.0000000000000018</v>
      </c>
      <c r="Q47" s="8">
        <f t="shared" si="3"/>
        <v>9.0000000000000018</v>
      </c>
      <c r="R47" s="8">
        <f t="shared" si="4"/>
        <v>0</v>
      </c>
    </row>
    <row r="48" spans="1:18">
      <c r="A48" s="16">
        <v>46094</v>
      </c>
      <c r="B48" s="22">
        <f t="shared" si="0"/>
        <v>2026</v>
      </c>
      <c r="C48" s="22" t="str">
        <f t="shared" si="5"/>
        <v>março</v>
      </c>
      <c r="D48" t="s">
        <v>84</v>
      </c>
      <c r="E48" t="str">
        <f>IFERROR(VLOOKUP(D48,[1]Cadastro!$B$4:$H$100,2,FALSE),"")</f>
        <v>Enfermagem</v>
      </c>
      <c r="F48" t="str">
        <f>IFERROR(VLOOKUP(D48,[1]Cadastro!$B$4:$H$100,3,FALSE),"")</f>
        <v>R1</v>
      </c>
      <c r="G48" t="s">
        <v>202</v>
      </c>
      <c r="H48" t="s">
        <v>96</v>
      </c>
      <c r="I48" t="s">
        <v>36</v>
      </c>
      <c r="J48" s="30">
        <v>0.33333333333333298</v>
      </c>
      <c r="K48" s="30">
        <v>0.70833333333333304</v>
      </c>
      <c r="L48" s="22"/>
      <c r="M48" s="22"/>
      <c r="N48" s="22"/>
      <c r="O48" s="22"/>
      <c r="P48" s="8">
        <f t="shared" si="2"/>
        <v>9.0000000000000018</v>
      </c>
      <c r="Q48" s="8">
        <f t="shared" si="3"/>
        <v>9.0000000000000018</v>
      </c>
      <c r="R48" s="8">
        <f t="shared" si="4"/>
        <v>0</v>
      </c>
    </row>
    <row r="49" spans="1:18">
      <c r="A49" s="19">
        <v>46095</v>
      </c>
      <c r="B49" s="24">
        <f t="shared" si="0"/>
        <v>2026</v>
      </c>
      <c r="C49" s="24" t="str">
        <f t="shared" si="5"/>
        <v>março</v>
      </c>
      <c r="D49" s="20" t="s">
        <v>84</v>
      </c>
      <c r="E49" s="20" t="str">
        <f>IFERROR(VLOOKUP(D49,[1]Cadastro!$B$4:$H$100,2,FALSE),"")</f>
        <v>Enfermagem</v>
      </c>
      <c r="F49" s="20" t="str">
        <f>IFERROR(VLOOKUP(D49,[1]Cadastro!$B$4:$H$100,3,FALSE),"")</f>
        <v>R1</v>
      </c>
      <c r="G49" s="20" t="s">
        <v>202</v>
      </c>
      <c r="H49" s="20" t="s">
        <v>96</v>
      </c>
      <c r="I49" s="20" t="s">
        <v>36</v>
      </c>
      <c r="J49" s="31"/>
      <c r="K49" s="31"/>
      <c r="L49" s="24"/>
      <c r="M49" s="24"/>
      <c r="N49" s="24"/>
      <c r="O49" s="24"/>
      <c r="P49" s="21">
        <f t="shared" si="2"/>
        <v>0</v>
      </c>
      <c r="Q49" s="21">
        <f t="shared" si="3"/>
        <v>0</v>
      </c>
      <c r="R49" s="21">
        <f t="shared" si="4"/>
        <v>0</v>
      </c>
    </row>
    <row r="50" spans="1:18">
      <c r="A50" s="19">
        <v>46096</v>
      </c>
      <c r="B50" s="24">
        <f t="shared" si="0"/>
        <v>2026</v>
      </c>
      <c r="C50" s="24" t="str">
        <f t="shared" si="5"/>
        <v>março</v>
      </c>
      <c r="D50" s="20" t="s">
        <v>84</v>
      </c>
      <c r="E50" s="20" t="str">
        <f>IFERROR(VLOOKUP(D50,[1]Cadastro!$B$4:$H$100,2,FALSE),"")</f>
        <v>Enfermagem</v>
      </c>
      <c r="F50" s="20" t="str">
        <f>IFERROR(VLOOKUP(D50,[1]Cadastro!$B$4:$H$100,3,FALSE),"")</f>
        <v>R1</v>
      </c>
      <c r="G50" s="20" t="s">
        <v>202</v>
      </c>
      <c r="H50" s="20" t="s">
        <v>96</v>
      </c>
      <c r="I50" s="20" t="s">
        <v>36</v>
      </c>
      <c r="J50" s="31"/>
      <c r="K50" s="31"/>
      <c r="L50" s="24"/>
      <c r="M50" s="24"/>
      <c r="N50" s="24"/>
      <c r="O50" s="24"/>
      <c r="P50" s="21">
        <f t="shared" si="2"/>
        <v>0</v>
      </c>
      <c r="Q50" s="21">
        <f t="shared" si="3"/>
        <v>0</v>
      </c>
      <c r="R50" s="21">
        <f t="shared" si="4"/>
        <v>0</v>
      </c>
    </row>
    <row r="51" spans="1:18">
      <c r="A51" s="16">
        <v>46097</v>
      </c>
      <c r="B51" s="22">
        <f t="shared" si="0"/>
        <v>2026</v>
      </c>
      <c r="C51" s="22" t="str">
        <f t="shared" si="5"/>
        <v>março</v>
      </c>
      <c r="D51" t="s">
        <v>84</v>
      </c>
      <c r="E51" t="str">
        <f>IFERROR(VLOOKUP(D51,[1]Cadastro!$B$4:$H$100,2,FALSE),"")</f>
        <v>Enfermagem</v>
      </c>
      <c r="F51" t="str">
        <f>IFERROR(VLOOKUP(D51,[1]Cadastro!$B$4:$H$100,3,FALSE),"")</f>
        <v>R1</v>
      </c>
      <c r="G51" t="s">
        <v>202</v>
      </c>
      <c r="H51" t="s">
        <v>96</v>
      </c>
      <c r="I51" t="s">
        <v>36</v>
      </c>
      <c r="J51" s="22" t="s">
        <v>141</v>
      </c>
      <c r="K51" s="22" t="s">
        <v>164</v>
      </c>
      <c r="L51" s="22" t="s">
        <v>165</v>
      </c>
      <c r="M51" s="22" t="s">
        <v>144</v>
      </c>
      <c r="N51" s="22"/>
      <c r="O51" s="22"/>
      <c r="P51" s="8">
        <f t="shared" si="2"/>
        <v>8.6333333333333346</v>
      </c>
      <c r="Q51" s="8">
        <f t="shared" si="3"/>
        <v>8.6333333333333346</v>
      </c>
      <c r="R51" s="8">
        <f t="shared" si="4"/>
        <v>0</v>
      </c>
    </row>
    <row r="52" spans="1:18">
      <c r="A52" s="16">
        <v>46098</v>
      </c>
      <c r="B52" s="22">
        <f t="shared" si="0"/>
        <v>2026</v>
      </c>
      <c r="C52" s="22" t="str">
        <f t="shared" si="5"/>
        <v>março</v>
      </c>
      <c r="D52" t="s">
        <v>84</v>
      </c>
      <c r="E52" t="str">
        <f>IFERROR(VLOOKUP(D52,[1]Cadastro!$B$4:$H$100,2,FALSE),"")</f>
        <v>Enfermagem</v>
      </c>
      <c r="F52" t="str">
        <f>IFERROR(VLOOKUP(D52,[1]Cadastro!$B$4:$H$100,3,FALSE),"")</f>
        <v>R1</v>
      </c>
      <c r="G52" t="s">
        <v>202</v>
      </c>
      <c r="H52" t="s">
        <v>96</v>
      </c>
      <c r="I52" t="s">
        <v>36</v>
      </c>
      <c r="J52" s="22" t="s">
        <v>166</v>
      </c>
      <c r="K52" s="23">
        <v>0.50138888888888888</v>
      </c>
      <c r="L52" s="22" t="s">
        <v>167</v>
      </c>
      <c r="M52" s="22" t="s">
        <v>156</v>
      </c>
      <c r="N52" s="22" t="s">
        <v>157</v>
      </c>
      <c r="O52" s="22" t="s">
        <v>151</v>
      </c>
      <c r="P52" s="8">
        <f t="shared" si="2"/>
        <v>11.966666666666669</v>
      </c>
      <c r="Q52" s="8">
        <f t="shared" si="3"/>
        <v>11.966666666666669</v>
      </c>
      <c r="R52" s="8">
        <f t="shared" si="4"/>
        <v>0</v>
      </c>
    </row>
    <row r="53" spans="1:18">
      <c r="A53" s="16">
        <v>46099</v>
      </c>
      <c r="B53" s="22">
        <f t="shared" si="0"/>
        <v>2026</v>
      </c>
      <c r="C53" s="22" t="str">
        <f t="shared" si="5"/>
        <v>março</v>
      </c>
      <c r="D53" t="s">
        <v>84</v>
      </c>
      <c r="E53" t="str">
        <f>IFERROR(VLOOKUP(D53,[1]Cadastro!$B$4:$H$100,2,FALSE),"")</f>
        <v>Enfermagem</v>
      </c>
      <c r="F53" t="str">
        <f>IFERROR(VLOOKUP(D53,[1]Cadastro!$B$4:$H$100,3,FALSE),"")</f>
        <v>R1</v>
      </c>
      <c r="G53" t="s">
        <v>202</v>
      </c>
      <c r="H53" t="s">
        <v>96</v>
      </c>
      <c r="I53" t="s">
        <v>36</v>
      </c>
      <c r="J53" s="22" t="s">
        <v>159</v>
      </c>
      <c r="K53" s="22" t="s">
        <v>155</v>
      </c>
      <c r="L53" s="22" t="s">
        <v>168</v>
      </c>
      <c r="M53" s="22" t="s">
        <v>153</v>
      </c>
      <c r="N53" s="22"/>
      <c r="O53" s="22"/>
      <c r="P53" s="8">
        <f t="shared" si="2"/>
        <v>9.2833333333333332</v>
      </c>
      <c r="Q53" s="8">
        <f t="shared" si="3"/>
        <v>9.2833333333333332</v>
      </c>
      <c r="R53" s="8">
        <f t="shared" si="4"/>
        <v>0</v>
      </c>
    </row>
    <row r="54" spans="1:18">
      <c r="A54" s="16">
        <v>46100</v>
      </c>
      <c r="B54" s="22">
        <f t="shared" si="0"/>
        <v>2026</v>
      </c>
      <c r="C54" s="22" t="str">
        <f t="shared" si="5"/>
        <v>março</v>
      </c>
      <c r="D54" t="s">
        <v>84</v>
      </c>
      <c r="E54" t="str">
        <f>IFERROR(VLOOKUP(D54,[1]Cadastro!$B$4:$H$100,2,FALSE),"")</f>
        <v>Enfermagem</v>
      </c>
      <c r="F54" t="str">
        <f>IFERROR(VLOOKUP(D54,[1]Cadastro!$B$4:$H$100,3,FALSE),"")</f>
        <v>R1</v>
      </c>
      <c r="G54" t="s">
        <v>202</v>
      </c>
      <c r="H54" t="s">
        <v>96</v>
      </c>
      <c r="I54" t="s">
        <v>36</v>
      </c>
      <c r="J54" s="22" t="s">
        <v>169</v>
      </c>
      <c r="K54" s="22" t="s">
        <v>142</v>
      </c>
      <c r="L54" s="22" t="s">
        <v>165</v>
      </c>
      <c r="M54" s="22" t="s">
        <v>170</v>
      </c>
      <c r="N54" s="22"/>
      <c r="O54" s="22"/>
      <c r="P54" s="8">
        <f t="shared" si="2"/>
        <v>9.0999999999999979</v>
      </c>
      <c r="Q54" s="8">
        <f t="shared" si="3"/>
        <v>9.0999999999999979</v>
      </c>
      <c r="R54" s="8">
        <f t="shared" si="4"/>
        <v>0</v>
      </c>
    </row>
    <row r="55" spans="1:18">
      <c r="A55" s="16">
        <v>46101</v>
      </c>
      <c r="B55" s="22">
        <f t="shared" si="0"/>
        <v>2026</v>
      </c>
      <c r="C55" s="22" t="str">
        <f t="shared" si="5"/>
        <v>março</v>
      </c>
      <c r="D55" t="s">
        <v>84</v>
      </c>
      <c r="E55" t="str">
        <f>IFERROR(VLOOKUP(D55,[1]Cadastro!$B$4:$H$100,2,FALSE),"")</f>
        <v>Enfermagem</v>
      </c>
      <c r="F55" t="str">
        <f>IFERROR(VLOOKUP(D55,[1]Cadastro!$B$4:$H$100,3,FALSE),"")</f>
        <v>R1</v>
      </c>
      <c r="G55" t="s">
        <v>202</v>
      </c>
      <c r="H55" t="s">
        <v>96</v>
      </c>
      <c r="I55" t="s">
        <v>36</v>
      </c>
      <c r="J55" s="22" t="s">
        <v>166</v>
      </c>
      <c r="K55" s="22" t="s">
        <v>171</v>
      </c>
      <c r="L55" s="22"/>
      <c r="M55" s="22"/>
      <c r="N55" s="22"/>
      <c r="O55" s="22"/>
      <c r="P55" s="8">
        <f t="shared" si="2"/>
        <v>5.0333333333333332</v>
      </c>
      <c r="Q55" s="8">
        <f t="shared" si="3"/>
        <v>5.0333333333333332</v>
      </c>
      <c r="R55" s="8">
        <f t="shared" si="4"/>
        <v>0</v>
      </c>
    </row>
    <row r="56" spans="1:18">
      <c r="A56" s="19">
        <v>46102</v>
      </c>
      <c r="B56" s="24">
        <f t="shared" si="0"/>
        <v>2026</v>
      </c>
      <c r="C56" s="24" t="str">
        <f t="shared" si="5"/>
        <v>março</v>
      </c>
      <c r="D56" s="20" t="s">
        <v>84</v>
      </c>
      <c r="E56" s="20" t="str">
        <f>IFERROR(VLOOKUP(D56,[1]Cadastro!$B$4:$H$100,2,FALSE),"")</f>
        <v>Enfermagem</v>
      </c>
      <c r="F56" s="20" t="str">
        <f>IFERROR(VLOOKUP(D56,[1]Cadastro!$B$4:$H$100,3,FALSE),"")</f>
        <v>R1</v>
      </c>
      <c r="G56" s="20" t="s">
        <v>202</v>
      </c>
      <c r="H56" s="20" t="s">
        <v>96</v>
      </c>
      <c r="I56" s="20" t="s">
        <v>36</v>
      </c>
      <c r="J56" s="18"/>
      <c r="K56" s="18"/>
      <c r="L56" s="18"/>
      <c r="M56" s="18"/>
      <c r="N56" s="18"/>
      <c r="O56" s="18"/>
      <c r="P56" s="21">
        <f t="shared" si="2"/>
        <v>0</v>
      </c>
      <c r="Q56" s="21">
        <f t="shared" si="3"/>
        <v>0</v>
      </c>
      <c r="R56" s="21">
        <f t="shared" si="4"/>
        <v>0</v>
      </c>
    </row>
    <row r="57" spans="1:18">
      <c r="A57" s="19">
        <v>46103</v>
      </c>
      <c r="B57" s="24">
        <f t="shared" si="0"/>
        <v>2026</v>
      </c>
      <c r="C57" s="24" t="str">
        <f t="shared" si="5"/>
        <v>março</v>
      </c>
      <c r="D57" s="20" t="s">
        <v>84</v>
      </c>
      <c r="E57" s="20" t="str">
        <f>IFERROR(VLOOKUP(D57,[1]Cadastro!$B$4:$H$100,2,FALSE),"")</f>
        <v>Enfermagem</v>
      </c>
      <c r="F57" s="20" t="str">
        <f>IFERROR(VLOOKUP(D57,[1]Cadastro!$B$4:$H$100,3,FALSE),"")</f>
        <v>R1</v>
      </c>
      <c r="G57" s="20" t="s">
        <v>202</v>
      </c>
      <c r="H57" s="20" t="s">
        <v>96</v>
      </c>
      <c r="I57" s="20" t="s">
        <v>36</v>
      </c>
      <c r="J57" s="18"/>
      <c r="K57" s="18"/>
      <c r="L57" s="18"/>
      <c r="M57" s="18"/>
      <c r="N57" s="18"/>
      <c r="O57" s="18"/>
      <c r="P57" s="21">
        <f t="shared" si="2"/>
        <v>0</v>
      </c>
      <c r="Q57" s="21">
        <f t="shared" si="3"/>
        <v>0</v>
      </c>
      <c r="R57" s="21">
        <f t="shared" si="4"/>
        <v>0</v>
      </c>
    </row>
    <row r="58" spans="1:18">
      <c r="A58" s="16">
        <v>46104</v>
      </c>
      <c r="B58" s="22">
        <f t="shared" si="0"/>
        <v>2026</v>
      </c>
      <c r="C58" s="22" t="str">
        <f t="shared" si="5"/>
        <v>março</v>
      </c>
      <c r="D58" t="s">
        <v>84</v>
      </c>
      <c r="E58" t="str">
        <f>IFERROR(VLOOKUP(D58,[1]Cadastro!$B$4:$H$100,2,FALSE),"")</f>
        <v>Enfermagem</v>
      </c>
      <c r="F58" t="str">
        <f>IFERROR(VLOOKUP(D58,[1]Cadastro!$B$4:$H$100,3,FALSE),"")</f>
        <v>R1</v>
      </c>
      <c r="G58" t="s">
        <v>202</v>
      </c>
      <c r="H58" t="s">
        <v>96</v>
      </c>
      <c r="I58" t="s">
        <v>36</v>
      </c>
      <c r="J58" s="22" t="s">
        <v>169</v>
      </c>
      <c r="K58" s="22" t="s">
        <v>172</v>
      </c>
      <c r="L58" s="22" t="s">
        <v>173</v>
      </c>
      <c r="M58" s="22" t="s">
        <v>150</v>
      </c>
      <c r="N58" s="22"/>
      <c r="O58" s="22"/>
      <c r="P58" s="8">
        <f t="shared" si="2"/>
        <v>9.0999999999999979</v>
      </c>
      <c r="Q58" s="8">
        <f t="shared" si="3"/>
        <v>9.0999999999999979</v>
      </c>
      <c r="R58" s="8">
        <f t="shared" si="4"/>
        <v>0</v>
      </c>
    </row>
    <row r="59" spans="1:18">
      <c r="A59" s="16">
        <v>46105</v>
      </c>
      <c r="B59" s="22">
        <f t="shared" si="0"/>
        <v>2026</v>
      </c>
      <c r="C59" s="22" t="str">
        <f t="shared" si="5"/>
        <v>março</v>
      </c>
      <c r="D59" t="s">
        <v>84</v>
      </c>
      <c r="E59" t="str">
        <f>IFERROR(VLOOKUP(D59,[1]Cadastro!$B$4:$H$100,2,FALSE),"")</f>
        <v>Enfermagem</v>
      </c>
      <c r="F59" t="str">
        <f>IFERROR(VLOOKUP(D59,[1]Cadastro!$B$4:$H$100,3,FALSE),"")</f>
        <v>R1</v>
      </c>
      <c r="G59" t="s">
        <v>202</v>
      </c>
      <c r="H59" t="s">
        <v>96</v>
      </c>
      <c r="I59" t="s">
        <v>36</v>
      </c>
      <c r="J59" s="23">
        <v>0.29722222222222222</v>
      </c>
      <c r="K59" s="22" t="s">
        <v>161</v>
      </c>
      <c r="L59" s="23">
        <v>0.56805555555555554</v>
      </c>
      <c r="M59" s="22" t="s">
        <v>163</v>
      </c>
      <c r="N59" s="22" t="s">
        <v>174</v>
      </c>
      <c r="O59" s="22" t="s">
        <v>175</v>
      </c>
      <c r="P59" s="8">
        <f t="shared" si="2"/>
        <v>11.983333333333329</v>
      </c>
      <c r="Q59" s="8">
        <f t="shared" si="3"/>
        <v>11.983333333333329</v>
      </c>
      <c r="R59" s="8">
        <f t="shared" si="4"/>
        <v>0</v>
      </c>
    </row>
    <row r="60" spans="1:18">
      <c r="A60" s="16">
        <v>46106</v>
      </c>
      <c r="B60" s="22">
        <f t="shared" si="0"/>
        <v>2026</v>
      </c>
      <c r="C60" s="22" t="str">
        <f t="shared" si="5"/>
        <v>março</v>
      </c>
      <c r="D60" t="s">
        <v>84</v>
      </c>
      <c r="E60" t="str">
        <f>IFERROR(VLOOKUP(D60,[1]Cadastro!$B$4:$H$100,2,FALSE),"")</f>
        <v>Enfermagem</v>
      </c>
      <c r="F60" t="str">
        <f>IFERROR(VLOOKUP(D60,[1]Cadastro!$B$4:$H$100,3,FALSE),"")</f>
        <v>R1</v>
      </c>
      <c r="G60" t="s">
        <v>202</v>
      </c>
      <c r="H60" t="s">
        <v>96</v>
      </c>
      <c r="I60" t="s">
        <v>36</v>
      </c>
      <c r="J60" s="22" t="s">
        <v>160</v>
      </c>
      <c r="K60" s="23">
        <v>0.66736111111111107</v>
      </c>
      <c r="L60" s="22"/>
      <c r="M60" s="22"/>
      <c r="N60" s="22"/>
      <c r="O60" s="22"/>
      <c r="P60" s="8">
        <f t="shared" si="2"/>
        <v>8.9333333333333318</v>
      </c>
      <c r="Q60" s="8">
        <f t="shared" si="3"/>
        <v>8.9333333333333318</v>
      </c>
      <c r="R60" s="8">
        <f t="shared" si="4"/>
        <v>0</v>
      </c>
    </row>
    <row r="61" spans="1:18">
      <c r="A61" s="16">
        <v>46107</v>
      </c>
      <c r="B61" s="22">
        <f t="shared" si="0"/>
        <v>2026</v>
      </c>
      <c r="C61" s="22" t="str">
        <f t="shared" si="5"/>
        <v>março</v>
      </c>
      <c r="D61" t="s">
        <v>84</v>
      </c>
      <c r="E61" t="str">
        <f>IFERROR(VLOOKUP(D61,[1]Cadastro!$B$4:$H$100,2,FALSE),"")</f>
        <v>Enfermagem</v>
      </c>
      <c r="F61" t="str">
        <f>IFERROR(VLOOKUP(D61,[1]Cadastro!$B$4:$H$100,3,FALSE),"")</f>
        <v>R1</v>
      </c>
      <c r="G61" t="s">
        <v>202</v>
      </c>
      <c r="H61" t="s">
        <v>96</v>
      </c>
      <c r="I61" t="s">
        <v>36</v>
      </c>
      <c r="J61" s="22" t="s">
        <v>176</v>
      </c>
      <c r="K61" s="23">
        <v>0.43402777777777773</v>
      </c>
      <c r="L61" s="22" t="s">
        <v>158</v>
      </c>
      <c r="M61" s="22" t="s">
        <v>163</v>
      </c>
      <c r="N61" s="22"/>
      <c r="O61" s="22"/>
      <c r="P61" s="8">
        <f t="shared" si="2"/>
        <v>7.2499999999999982</v>
      </c>
      <c r="Q61" s="8">
        <f t="shared" si="3"/>
        <v>7.2499999999999982</v>
      </c>
      <c r="R61" s="8">
        <f t="shared" si="4"/>
        <v>0</v>
      </c>
    </row>
    <row r="62" spans="1:18">
      <c r="A62" s="16">
        <v>46108</v>
      </c>
      <c r="B62" s="22">
        <f t="shared" si="0"/>
        <v>2026</v>
      </c>
      <c r="C62" s="22" t="str">
        <f t="shared" si="5"/>
        <v>março</v>
      </c>
      <c r="D62" t="s">
        <v>84</v>
      </c>
      <c r="E62" t="str">
        <f>IFERROR(VLOOKUP(D62,[1]Cadastro!$B$4:$H$100,2,FALSE),"")</f>
        <v>Enfermagem</v>
      </c>
      <c r="F62" t="str">
        <f>IFERROR(VLOOKUP(D62,[1]Cadastro!$B$4:$H$100,3,FALSE),"")</f>
        <v>R1</v>
      </c>
      <c r="G62" t="s">
        <v>202</v>
      </c>
      <c r="H62" t="s">
        <v>96</v>
      </c>
      <c r="I62" t="s">
        <v>36</v>
      </c>
      <c r="J62" s="22" t="s">
        <v>160</v>
      </c>
      <c r="K62" s="22" t="s">
        <v>143</v>
      </c>
      <c r="L62" s="22" t="s">
        <v>173</v>
      </c>
      <c r="M62" s="22" t="s">
        <v>150</v>
      </c>
      <c r="N62" s="22"/>
      <c r="O62" s="22"/>
      <c r="P62" s="8">
        <f t="shared" si="2"/>
        <v>8.9499999999999975</v>
      </c>
      <c r="Q62" s="8">
        <f t="shared" si="3"/>
        <v>8.9499999999999975</v>
      </c>
      <c r="R62" s="8">
        <f t="shared" si="4"/>
        <v>0</v>
      </c>
    </row>
    <row r="63" spans="1:18">
      <c r="A63" s="19">
        <v>46109</v>
      </c>
      <c r="B63" s="24">
        <f t="shared" si="0"/>
        <v>2026</v>
      </c>
      <c r="C63" s="24" t="str">
        <f t="shared" si="5"/>
        <v>março</v>
      </c>
      <c r="D63" s="20" t="s">
        <v>84</v>
      </c>
      <c r="E63" s="20" t="str">
        <f>IFERROR(VLOOKUP(D63,[1]Cadastro!$B$4:$H$100,2,FALSE),"")</f>
        <v>Enfermagem</v>
      </c>
      <c r="F63" s="20" t="str">
        <f>IFERROR(VLOOKUP(D63,[1]Cadastro!$B$4:$H$100,3,FALSE),"")</f>
        <v>R1</v>
      </c>
      <c r="G63" s="20" t="s">
        <v>202</v>
      </c>
      <c r="H63" s="20" t="s">
        <v>96</v>
      </c>
      <c r="I63" s="20" t="s">
        <v>36</v>
      </c>
      <c r="J63" s="18"/>
      <c r="K63" s="18"/>
      <c r="L63" s="18"/>
      <c r="M63" s="18"/>
      <c r="N63" s="18"/>
      <c r="O63" s="18"/>
      <c r="P63" s="21">
        <f t="shared" si="2"/>
        <v>0</v>
      </c>
      <c r="Q63" s="21">
        <f t="shared" si="3"/>
        <v>0</v>
      </c>
      <c r="R63" s="21">
        <f t="shared" si="4"/>
        <v>0</v>
      </c>
    </row>
    <row r="64" spans="1:18">
      <c r="A64" s="19">
        <v>46110</v>
      </c>
      <c r="B64" s="24">
        <f t="shared" si="0"/>
        <v>2026</v>
      </c>
      <c r="C64" s="24" t="str">
        <f t="shared" si="5"/>
        <v>março</v>
      </c>
      <c r="D64" s="20" t="s">
        <v>84</v>
      </c>
      <c r="E64" s="20" t="str">
        <f>IFERROR(VLOOKUP(D64,[1]Cadastro!$B$4:$H$100,2,FALSE),"")</f>
        <v>Enfermagem</v>
      </c>
      <c r="F64" s="20" t="str">
        <f>IFERROR(VLOOKUP(D64,[1]Cadastro!$B$4:$H$100,3,FALSE),"")</f>
        <v>R1</v>
      </c>
      <c r="G64" s="20" t="s">
        <v>202</v>
      </c>
      <c r="H64" s="20" t="s">
        <v>96</v>
      </c>
      <c r="I64" s="20" t="s">
        <v>36</v>
      </c>
      <c r="J64" s="18"/>
      <c r="K64" s="18"/>
      <c r="L64" s="18"/>
      <c r="M64" s="18"/>
      <c r="N64" s="18"/>
      <c r="O64" s="18"/>
      <c r="P64" s="21">
        <f t="shared" si="2"/>
        <v>0</v>
      </c>
      <c r="Q64" s="21">
        <f t="shared" si="3"/>
        <v>0</v>
      </c>
      <c r="R64" s="21">
        <f t="shared" si="4"/>
        <v>0</v>
      </c>
    </row>
    <row r="65" spans="1:18">
      <c r="A65" s="16">
        <v>46111</v>
      </c>
      <c r="B65" s="22">
        <f t="shared" si="0"/>
        <v>2026</v>
      </c>
      <c r="C65" s="22" t="str">
        <f t="shared" si="5"/>
        <v>março</v>
      </c>
      <c r="D65" t="s">
        <v>84</v>
      </c>
      <c r="E65" t="str">
        <f>IFERROR(VLOOKUP(D65,[1]Cadastro!$B$4:$H$100,2,FALSE),"")</f>
        <v>Enfermagem</v>
      </c>
      <c r="F65" t="str">
        <f>IFERROR(VLOOKUP(D65,[1]Cadastro!$B$4:$H$100,3,FALSE),"")</f>
        <v>R1</v>
      </c>
      <c r="G65" t="s">
        <v>202</v>
      </c>
      <c r="H65" t="s">
        <v>96</v>
      </c>
      <c r="I65" t="s">
        <v>36</v>
      </c>
      <c r="J65" s="22" t="s">
        <v>177</v>
      </c>
      <c r="K65" s="22" t="s">
        <v>178</v>
      </c>
      <c r="L65" s="22" t="s">
        <v>173</v>
      </c>
      <c r="M65" s="22" t="s">
        <v>152</v>
      </c>
      <c r="N65" s="22"/>
      <c r="O65" s="22"/>
      <c r="P65" s="8">
        <f t="shared" si="2"/>
        <v>9.0666666666666647</v>
      </c>
      <c r="Q65" s="8">
        <f t="shared" si="3"/>
        <v>9.0666666666666647</v>
      </c>
      <c r="R65" s="8">
        <f t="shared" si="4"/>
        <v>0</v>
      </c>
    </row>
    <row r="66" spans="1:18">
      <c r="A66" s="16">
        <v>46112</v>
      </c>
      <c r="B66" s="22">
        <f t="shared" si="0"/>
        <v>2026</v>
      </c>
      <c r="C66" s="22" t="str">
        <f t="shared" si="5"/>
        <v>março</v>
      </c>
      <c r="D66" t="s">
        <v>84</v>
      </c>
      <c r="E66" t="str">
        <f>IFERROR(VLOOKUP(D66,[1]Cadastro!$B$4:$H$100,2,FALSE),"")</f>
        <v>Enfermagem</v>
      </c>
      <c r="F66" t="str">
        <f>IFERROR(VLOOKUP(D66,[1]Cadastro!$B$4:$H$100,3,FALSE),"")</f>
        <v>R1</v>
      </c>
      <c r="G66" t="s">
        <v>202</v>
      </c>
      <c r="H66" t="s">
        <v>96</v>
      </c>
      <c r="I66" t="s">
        <v>36</v>
      </c>
      <c r="J66" s="22" t="s">
        <v>179</v>
      </c>
      <c r="K66" s="23">
        <v>0.50555555555555554</v>
      </c>
      <c r="L66" s="22" t="s">
        <v>158</v>
      </c>
      <c r="M66" s="22" t="s">
        <v>150</v>
      </c>
      <c r="N66" s="22" t="s">
        <v>163</v>
      </c>
      <c r="O66" s="22" t="s">
        <v>151</v>
      </c>
      <c r="P66" s="8">
        <f t="shared" si="2"/>
        <v>12.183333333333334</v>
      </c>
      <c r="Q66" s="8">
        <f t="shared" si="3"/>
        <v>12.183333333333334</v>
      </c>
      <c r="R66" s="8">
        <f t="shared" si="4"/>
        <v>0</v>
      </c>
    </row>
    <row r="67" spans="1:18">
      <c r="A67" s="6"/>
      <c r="B67" t="str">
        <f t="shared" si="0"/>
        <v/>
      </c>
      <c r="C67" t="str">
        <f t="shared" si="5"/>
        <v/>
      </c>
      <c r="E67" t="str">
        <f>IFERROR(VLOOKUP(D67,Cadastro!$B$4:$H$100,2,FALSE),"")</f>
        <v/>
      </c>
      <c r="F67" t="str">
        <f>IFERROR(VLOOKUP(D67,Cadastro!$B$4:$H$100,3,FALSE),"")</f>
        <v/>
      </c>
      <c r="J67" s="7"/>
      <c r="K67" s="7"/>
      <c r="L67" s="7"/>
      <c r="M67" s="7"/>
      <c r="N67" s="7"/>
      <c r="O67" s="7"/>
      <c r="P67" s="8">
        <f t="shared" si="2"/>
        <v>0</v>
      </c>
      <c r="Q67" s="8">
        <f t="shared" si="3"/>
        <v>0</v>
      </c>
      <c r="R67" s="8">
        <f t="shared" si="4"/>
        <v>0</v>
      </c>
    </row>
    <row r="68" spans="1:18">
      <c r="A68" s="16">
        <v>46082</v>
      </c>
      <c r="B68">
        <f t="shared" ref="B68:B131" si="6">IF(A68="","",YEAR(A68))</f>
        <v>2026</v>
      </c>
      <c r="C68" t="str">
        <f t="shared" ref="C68:C131" si="7">IF(A68="","",TEXT(A68,"mmmm"))</f>
        <v>março</v>
      </c>
      <c r="D68" t="s">
        <v>85</v>
      </c>
      <c r="E68" t="str">
        <f>IFERROR(VLOOKUP(D68,Cadastro!$B$4:$H$100,2,FALSE),"")</f>
        <v>Farmácia</v>
      </c>
      <c r="F68" t="str">
        <f>IFERROR(VLOOKUP(D68,Cadastro!$B$4:$H$100,3,FALSE),"")</f>
        <v>R1</v>
      </c>
      <c r="G68" t="s">
        <v>207</v>
      </c>
      <c r="H68" t="s">
        <v>208</v>
      </c>
      <c r="I68" t="s">
        <v>36</v>
      </c>
      <c r="J68" s="7"/>
      <c r="K68" s="7"/>
      <c r="L68" s="7"/>
      <c r="M68" s="7"/>
      <c r="N68" s="7"/>
      <c r="O68" s="7"/>
      <c r="P68" s="8">
        <f t="shared" ref="P68:P131" si="8">IF(OR(J68="",K68=""),0,(K68-J68)*24)+IF(OR(L68="",M68=""),0,(M68-L68)*24)+IF(OR(N68="",O68=""),0,(O68-N68)*24)</f>
        <v>0</v>
      </c>
      <c r="Q68" s="8">
        <f t="shared" ref="Q68:Q131" si="9">IF(OR(I68="Prática",I68="Teórico-prática"),P68,0)</f>
        <v>0</v>
      </c>
      <c r="R68" s="8">
        <f t="shared" ref="R68:R131" si="10">IF(OR(I68="Teórica",I68="Teórico-prática"),P68,0)</f>
        <v>0</v>
      </c>
    </row>
    <row r="69" spans="1:18">
      <c r="A69" s="16">
        <v>46083</v>
      </c>
      <c r="B69">
        <f t="shared" si="6"/>
        <v>2026</v>
      </c>
      <c r="C69" t="str">
        <f t="shared" si="7"/>
        <v>março</v>
      </c>
      <c r="D69" t="s">
        <v>85</v>
      </c>
      <c r="E69" t="str">
        <f>IFERROR(VLOOKUP(D69,Cadastro!$B$4:$H$100,2,FALSE),"")</f>
        <v>Farmácia</v>
      </c>
      <c r="F69" t="str">
        <f>IFERROR(VLOOKUP(D69,Cadastro!$B$4:$H$100,3,FALSE),"")</f>
        <v>R1</v>
      </c>
      <c r="G69" t="s">
        <v>207</v>
      </c>
      <c r="H69" t="s">
        <v>208</v>
      </c>
      <c r="I69" t="s">
        <v>36</v>
      </c>
      <c r="J69" s="7"/>
      <c r="K69" s="7"/>
      <c r="L69" s="7"/>
      <c r="M69" s="7"/>
      <c r="N69" s="7"/>
      <c r="O69" s="7"/>
      <c r="P69" s="8">
        <f t="shared" si="8"/>
        <v>0</v>
      </c>
      <c r="Q69" s="8">
        <f t="shared" si="9"/>
        <v>0</v>
      </c>
      <c r="R69" s="8">
        <f t="shared" si="10"/>
        <v>0</v>
      </c>
    </row>
    <row r="70" spans="1:18">
      <c r="A70" s="16">
        <v>46084</v>
      </c>
      <c r="B70">
        <f t="shared" si="6"/>
        <v>2026</v>
      </c>
      <c r="C70" t="str">
        <f t="shared" si="7"/>
        <v>março</v>
      </c>
      <c r="D70" t="s">
        <v>85</v>
      </c>
      <c r="E70" t="str">
        <f>IFERROR(VLOOKUP(D70,Cadastro!$B$4:$H$100,2,FALSE),"")</f>
        <v>Farmácia</v>
      </c>
      <c r="F70" t="str">
        <f>IFERROR(VLOOKUP(D70,Cadastro!$B$4:$H$100,3,FALSE),"")</f>
        <v>R1</v>
      </c>
      <c r="G70" t="s">
        <v>207</v>
      </c>
      <c r="H70" t="s">
        <v>208</v>
      </c>
      <c r="I70" t="s">
        <v>36</v>
      </c>
      <c r="J70" s="7"/>
      <c r="K70" s="7"/>
      <c r="L70" s="7"/>
      <c r="M70" s="7"/>
      <c r="N70" s="7"/>
      <c r="O70" s="7"/>
      <c r="P70" s="8">
        <f t="shared" si="8"/>
        <v>0</v>
      </c>
      <c r="Q70" s="8">
        <f t="shared" si="9"/>
        <v>0</v>
      </c>
      <c r="R70" s="8">
        <f t="shared" si="10"/>
        <v>0</v>
      </c>
    </row>
    <row r="71" spans="1:18">
      <c r="A71" s="16">
        <v>46085</v>
      </c>
      <c r="B71">
        <f t="shared" si="6"/>
        <v>2026</v>
      </c>
      <c r="C71" t="str">
        <f t="shared" si="7"/>
        <v>março</v>
      </c>
      <c r="D71" t="s">
        <v>85</v>
      </c>
      <c r="E71" t="str">
        <f>IFERROR(VLOOKUP(D71,Cadastro!$B$4:$H$100,2,FALSE),"")</f>
        <v>Farmácia</v>
      </c>
      <c r="F71" t="str">
        <f>IFERROR(VLOOKUP(D71,Cadastro!$B$4:$H$100,3,FALSE),"")</f>
        <v>R1</v>
      </c>
      <c r="G71" t="s">
        <v>207</v>
      </c>
      <c r="H71" t="s">
        <v>208</v>
      </c>
      <c r="I71" t="s">
        <v>36</v>
      </c>
      <c r="J71" s="7"/>
      <c r="K71" s="7"/>
      <c r="L71" s="7"/>
      <c r="M71" s="7"/>
      <c r="N71" s="7"/>
      <c r="O71" s="7"/>
      <c r="P71" s="8">
        <f t="shared" si="8"/>
        <v>0</v>
      </c>
      <c r="Q71" s="8">
        <f t="shared" si="9"/>
        <v>0</v>
      </c>
      <c r="R71" s="8">
        <f t="shared" si="10"/>
        <v>0</v>
      </c>
    </row>
    <row r="72" spans="1:18">
      <c r="A72" s="16">
        <v>46086</v>
      </c>
      <c r="B72">
        <f t="shared" si="6"/>
        <v>2026</v>
      </c>
      <c r="C72" t="str">
        <f t="shared" si="7"/>
        <v>março</v>
      </c>
      <c r="D72" t="s">
        <v>85</v>
      </c>
      <c r="E72" t="str">
        <f>IFERROR(VLOOKUP(D72,Cadastro!$B$4:$H$100,2,FALSE),"")</f>
        <v>Farmácia</v>
      </c>
      <c r="F72" t="str">
        <f>IFERROR(VLOOKUP(D72,Cadastro!$B$4:$H$100,3,FALSE),"")</f>
        <v>R1</v>
      </c>
      <c r="G72" t="s">
        <v>207</v>
      </c>
      <c r="H72" t="s">
        <v>208</v>
      </c>
      <c r="I72" t="s">
        <v>36</v>
      </c>
      <c r="J72" s="7"/>
      <c r="K72" s="7"/>
      <c r="L72" s="7"/>
      <c r="M72" s="7"/>
      <c r="N72" s="7"/>
      <c r="O72" s="7"/>
      <c r="P72" s="8">
        <f t="shared" si="8"/>
        <v>0</v>
      </c>
      <c r="Q72" s="8">
        <f t="shared" si="9"/>
        <v>0</v>
      </c>
      <c r="R72" s="8">
        <f t="shared" si="10"/>
        <v>0</v>
      </c>
    </row>
    <row r="73" spans="1:18">
      <c r="A73" s="16">
        <v>46087</v>
      </c>
      <c r="B73">
        <f t="shared" si="6"/>
        <v>2026</v>
      </c>
      <c r="C73" t="str">
        <f t="shared" si="7"/>
        <v>março</v>
      </c>
      <c r="D73" t="s">
        <v>85</v>
      </c>
      <c r="E73" t="str">
        <f>IFERROR(VLOOKUP(D73,Cadastro!$B$4:$H$100,2,FALSE),"")</f>
        <v>Farmácia</v>
      </c>
      <c r="F73" t="str">
        <f>IFERROR(VLOOKUP(D73,Cadastro!$B$4:$H$100,3,FALSE),"")</f>
        <v>R1</v>
      </c>
      <c r="G73" t="s">
        <v>207</v>
      </c>
      <c r="H73" t="s">
        <v>208</v>
      </c>
      <c r="I73" t="s">
        <v>36</v>
      </c>
      <c r="J73" s="7"/>
      <c r="K73" s="7"/>
      <c r="L73" s="7"/>
      <c r="M73" s="7"/>
      <c r="N73" s="7"/>
      <c r="O73" s="7"/>
      <c r="P73" s="8">
        <f t="shared" si="8"/>
        <v>0</v>
      </c>
      <c r="Q73" s="8">
        <f t="shared" si="9"/>
        <v>0</v>
      </c>
      <c r="R73" s="8">
        <f t="shared" si="10"/>
        <v>0</v>
      </c>
    </row>
    <row r="74" spans="1:18">
      <c r="A74" s="16">
        <v>46088</v>
      </c>
      <c r="B74">
        <f t="shared" si="6"/>
        <v>2026</v>
      </c>
      <c r="C74" t="str">
        <f t="shared" si="7"/>
        <v>março</v>
      </c>
      <c r="D74" t="s">
        <v>85</v>
      </c>
      <c r="E74" t="str">
        <f>IFERROR(VLOOKUP(D74,Cadastro!$B$4:$H$100,2,FALSE),"")</f>
        <v>Farmácia</v>
      </c>
      <c r="F74" t="str">
        <f>IFERROR(VLOOKUP(D74,Cadastro!$B$4:$H$100,3,FALSE),"")</f>
        <v>R1</v>
      </c>
      <c r="G74" t="s">
        <v>207</v>
      </c>
      <c r="H74" t="s">
        <v>208</v>
      </c>
      <c r="I74" t="s">
        <v>36</v>
      </c>
      <c r="J74" s="7"/>
      <c r="K74" s="7"/>
      <c r="L74" s="7"/>
      <c r="M74" s="7"/>
      <c r="N74" s="7"/>
      <c r="O74" s="7"/>
      <c r="P74" s="8">
        <f t="shared" si="8"/>
        <v>0</v>
      </c>
      <c r="Q74" s="8">
        <f t="shared" si="9"/>
        <v>0</v>
      </c>
      <c r="R74" s="8">
        <f t="shared" si="10"/>
        <v>0</v>
      </c>
    </row>
    <row r="75" spans="1:18">
      <c r="A75" s="16">
        <v>46089</v>
      </c>
      <c r="B75">
        <f t="shared" si="6"/>
        <v>2026</v>
      </c>
      <c r="C75" t="str">
        <f t="shared" si="7"/>
        <v>março</v>
      </c>
      <c r="D75" t="s">
        <v>85</v>
      </c>
      <c r="E75" t="str">
        <f>IFERROR(VLOOKUP(D75,Cadastro!$B$4:$H$100,2,FALSE),"")</f>
        <v>Farmácia</v>
      </c>
      <c r="F75" t="str">
        <f>IFERROR(VLOOKUP(D75,Cadastro!$B$4:$H$100,3,FALSE),"")</f>
        <v>R1</v>
      </c>
      <c r="G75" t="s">
        <v>207</v>
      </c>
      <c r="H75" t="s">
        <v>208</v>
      </c>
      <c r="I75" t="s">
        <v>36</v>
      </c>
      <c r="J75" s="7"/>
      <c r="K75" s="7"/>
      <c r="L75" s="7"/>
      <c r="M75" s="7"/>
      <c r="N75" s="7"/>
      <c r="O75" s="7"/>
      <c r="P75" s="8">
        <f t="shared" si="8"/>
        <v>0</v>
      </c>
      <c r="Q75" s="8">
        <f t="shared" si="9"/>
        <v>0</v>
      </c>
      <c r="R75" s="8">
        <f t="shared" si="10"/>
        <v>0</v>
      </c>
    </row>
    <row r="76" spans="1:18">
      <c r="A76" s="16">
        <v>46090</v>
      </c>
      <c r="B76" s="22">
        <f t="shared" si="6"/>
        <v>2026</v>
      </c>
      <c r="C76" s="22" t="str">
        <f t="shared" si="7"/>
        <v>março</v>
      </c>
      <c r="D76" t="s">
        <v>85</v>
      </c>
      <c r="E76" t="str">
        <f>IFERROR(VLOOKUP(D76,[1]Cadastro!$B$4:$H$100,2,FALSE),"")</f>
        <v>Farmácia</v>
      </c>
      <c r="F76" t="str">
        <f>IFERROR(VLOOKUP(D76,[1]Cadastro!$B$4:$H$100,3,FALSE),"")</f>
        <v>R1</v>
      </c>
      <c r="G76" t="s">
        <v>207</v>
      </c>
      <c r="H76" t="s">
        <v>208</v>
      </c>
      <c r="I76" t="s">
        <v>36</v>
      </c>
      <c r="J76" s="30">
        <v>0.33333333333333331</v>
      </c>
      <c r="K76" s="30">
        <v>0.70833333333333337</v>
      </c>
      <c r="L76" s="17"/>
      <c r="M76" s="17"/>
      <c r="N76" s="7"/>
      <c r="O76" s="7"/>
      <c r="P76" s="8">
        <f t="shared" si="8"/>
        <v>9.0000000000000018</v>
      </c>
      <c r="Q76" s="8">
        <f t="shared" si="9"/>
        <v>9.0000000000000018</v>
      </c>
      <c r="R76" s="8">
        <f t="shared" si="10"/>
        <v>0</v>
      </c>
    </row>
    <row r="77" spans="1:18">
      <c r="A77" s="16">
        <v>46091</v>
      </c>
      <c r="B77" s="22">
        <f t="shared" si="6"/>
        <v>2026</v>
      </c>
      <c r="C77" s="22" t="str">
        <f t="shared" si="7"/>
        <v>março</v>
      </c>
      <c r="D77" t="s">
        <v>85</v>
      </c>
      <c r="E77" t="str">
        <f>IFERROR(VLOOKUP(D77,[1]Cadastro!$B$4:$H$100,2,FALSE),"")</f>
        <v>Farmácia</v>
      </c>
      <c r="F77" t="str">
        <f>IFERROR(VLOOKUP(D77,[1]Cadastro!$B$4:$H$100,3,FALSE),"")</f>
        <v>R1</v>
      </c>
      <c r="G77" t="s">
        <v>207</v>
      </c>
      <c r="H77" t="s">
        <v>208</v>
      </c>
      <c r="I77" t="s">
        <v>36</v>
      </c>
      <c r="J77" s="30">
        <v>0.33333333333333331</v>
      </c>
      <c r="K77" s="30">
        <v>0.70833333333333337</v>
      </c>
      <c r="L77" s="17"/>
      <c r="M77" s="17"/>
      <c r="N77" s="7"/>
      <c r="O77" s="7"/>
      <c r="P77" s="8">
        <f t="shared" si="8"/>
        <v>9.0000000000000018</v>
      </c>
      <c r="Q77" s="8">
        <f t="shared" si="9"/>
        <v>9.0000000000000018</v>
      </c>
      <c r="R77" s="8">
        <f t="shared" si="10"/>
        <v>0</v>
      </c>
    </row>
    <row r="78" spans="1:18">
      <c r="A78" s="16">
        <v>46092</v>
      </c>
      <c r="B78" s="22">
        <f t="shared" si="6"/>
        <v>2026</v>
      </c>
      <c r="C78" s="22" t="str">
        <f t="shared" si="7"/>
        <v>março</v>
      </c>
      <c r="D78" t="s">
        <v>85</v>
      </c>
      <c r="E78" t="str">
        <f>IFERROR(VLOOKUP(D78,[1]Cadastro!$B$4:$H$100,2,FALSE),"")</f>
        <v>Farmácia</v>
      </c>
      <c r="F78" t="str">
        <f>IFERROR(VLOOKUP(D78,[1]Cadastro!$B$4:$H$100,3,FALSE),"")</f>
        <v>R1</v>
      </c>
      <c r="G78" t="s">
        <v>207</v>
      </c>
      <c r="H78" t="s">
        <v>208</v>
      </c>
      <c r="I78" t="s">
        <v>36</v>
      </c>
      <c r="J78" s="30">
        <v>0.33333333333333298</v>
      </c>
      <c r="K78" s="30">
        <v>0.70833333333333304</v>
      </c>
      <c r="L78" s="17"/>
      <c r="M78" s="17"/>
      <c r="N78" s="7"/>
      <c r="O78" s="7"/>
      <c r="P78" s="8">
        <f t="shared" si="8"/>
        <v>9.0000000000000018</v>
      </c>
      <c r="Q78" s="8">
        <f t="shared" si="9"/>
        <v>9.0000000000000018</v>
      </c>
      <c r="R78" s="8">
        <f t="shared" si="10"/>
        <v>0</v>
      </c>
    </row>
    <row r="79" spans="1:18">
      <c r="A79" s="16">
        <v>46093</v>
      </c>
      <c r="B79" s="22">
        <f t="shared" si="6"/>
        <v>2026</v>
      </c>
      <c r="C79" s="22" t="str">
        <f t="shared" si="7"/>
        <v>março</v>
      </c>
      <c r="D79" t="s">
        <v>85</v>
      </c>
      <c r="E79" t="str">
        <f>IFERROR(VLOOKUP(D79,[1]Cadastro!$B$4:$H$100,2,FALSE),"")</f>
        <v>Farmácia</v>
      </c>
      <c r="F79" t="str">
        <f>IFERROR(VLOOKUP(D79,[1]Cadastro!$B$4:$H$100,3,FALSE),"")</f>
        <v>R1</v>
      </c>
      <c r="G79" t="s">
        <v>207</v>
      </c>
      <c r="H79" t="s">
        <v>208</v>
      </c>
      <c r="I79" t="s">
        <v>36</v>
      </c>
      <c r="J79" s="30">
        <v>0.33333333333333298</v>
      </c>
      <c r="K79" s="30">
        <v>0.70833333333333304</v>
      </c>
      <c r="L79" s="17"/>
      <c r="M79" s="17"/>
      <c r="N79" s="7"/>
      <c r="O79" s="7"/>
      <c r="P79" s="8">
        <f t="shared" si="8"/>
        <v>9.0000000000000018</v>
      </c>
      <c r="Q79" s="8">
        <f t="shared" si="9"/>
        <v>9.0000000000000018</v>
      </c>
      <c r="R79" s="8">
        <f t="shared" si="10"/>
        <v>0</v>
      </c>
    </row>
    <row r="80" spans="1:18">
      <c r="A80" s="16">
        <v>46094</v>
      </c>
      <c r="B80" s="22">
        <f t="shared" si="6"/>
        <v>2026</v>
      </c>
      <c r="C80" s="22" t="str">
        <f t="shared" si="7"/>
        <v>março</v>
      </c>
      <c r="D80" t="s">
        <v>85</v>
      </c>
      <c r="E80" t="str">
        <f>IFERROR(VLOOKUP(D80,[1]Cadastro!$B$4:$H$100,2,FALSE),"")</f>
        <v>Farmácia</v>
      </c>
      <c r="F80" t="str">
        <f>IFERROR(VLOOKUP(D80,[1]Cadastro!$B$4:$H$100,3,FALSE),"")</f>
        <v>R1</v>
      </c>
      <c r="G80" t="s">
        <v>207</v>
      </c>
      <c r="H80" t="s">
        <v>208</v>
      </c>
      <c r="I80" t="s">
        <v>36</v>
      </c>
      <c r="J80" s="30">
        <v>0.33333333333333298</v>
      </c>
      <c r="K80" s="30">
        <v>0.70833333333333304</v>
      </c>
      <c r="L80" s="17"/>
      <c r="M80" s="17"/>
      <c r="N80" s="7"/>
      <c r="O80" s="7"/>
      <c r="P80" s="8">
        <f t="shared" si="8"/>
        <v>9.0000000000000018</v>
      </c>
      <c r="Q80" s="8">
        <f t="shared" si="9"/>
        <v>9.0000000000000018</v>
      </c>
      <c r="R80" s="8">
        <f t="shared" si="10"/>
        <v>0</v>
      </c>
    </row>
    <row r="81" spans="1:18">
      <c r="A81" s="19">
        <v>46095</v>
      </c>
      <c r="B81" s="24">
        <f t="shared" si="6"/>
        <v>2026</v>
      </c>
      <c r="C81" s="24" t="str">
        <f t="shared" si="7"/>
        <v>março</v>
      </c>
      <c r="D81" s="20" t="s">
        <v>85</v>
      </c>
      <c r="E81" s="20" t="str">
        <f>IFERROR(VLOOKUP(D81,[1]Cadastro!$B$4:$H$100,2,FALSE),"")</f>
        <v>Farmácia</v>
      </c>
      <c r="F81" s="20" t="str">
        <f>IFERROR(VLOOKUP(D81,[1]Cadastro!$B$4:$H$100,3,FALSE),"")</f>
        <v>R1</v>
      </c>
      <c r="G81" s="20" t="s">
        <v>207</v>
      </c>
      <c r="H81" s="20" t="s">
        <v>208</v>
      </c>
      <c r="I81" s="20" t="s">
        <v>36</v>
      </c>
      <c r="J81" s="31"/>
      <c r="K81" s="31"/>
      <c r="L81" s="18"/>
      <c r="M81" s="18"/>
      <c r="N81" s="32"/>
      <c r="O81" s="32"/>
      <c r="P81" s="21">
        <f t="shared" si="8"/>
        <v>0</v>
      </c>
      <c r="Q81" s="21">
        <f t="shared" si="9"/>
        <v>0</v>
      </c>
      <c r="R81" s="21">
        <f t="shared" si="10"/>
        <v>0</v>
      </c>
    </row>
    <row r="82" spans="1:18">
      <c r="A82" s="19">
        <v>46096</v>
      </c>
      <c r="B82" s="24">
        <f t="shared" si="6"/>
        <v>2026</v>
      </c>
      <c r="C82" s="24" t="str">
        <f t="shared" si="7"/>
        <v>março</v>
      </c>
      <c r="D82" s="20" t="s">
        <v>85</v>
      </c>
      <c r="E82" s="20" t="str">
        <f>IFERROR(VLOOKUP(D82,[1]Cadastro!$B$4:$H$100,2,FALSE),"")</f>
        <v>Farmácia</v>
      </c>
      <c r="F82" s="20" t="str">
        <f>IFERROR(VLOOKUP(D82,[1]Cadastro!$B$4:$H$100,3,FALSE),"")</f>
        <v>R1</v>
      </c>
      <c r="G82" s="20" t="s">
        <v>207</v>
      </c>
      <c r="H82" s="20" t="s">
        <v>208</v>
      </c>
      <c r="I82" s="20" t="s">
        <v>36</v>
      </c>
      <c r="J82" s="31"/>
      <c r="K82" s="31"/>
      <c r="L82" s="18"/>
      <c r="M82" s="18"/>
      <c r="N82" s="32"/>
      <c r="O82" s="32"/>
      <c r="P82" s="21">
        <f t="shared" si="8"/>
        <v>0</v>
      </c>
      <c r="Q82" s="21">
        <f t="shared" si="9"/>
        <v>0</v>
      </c>
      <c r="R82" s="21">
        <f t="shared" si="10"/>
        <v>0</v>
      </c>
    </row>
    <row r="83" spans="1:18">
      <c r="A83" s="16">
        <v>46097</v>
      </c>
      <c r="B83" s="22">
        <f t="shared" si="6"/>
        <v>2026</v>
      </c>
      <c r="C83" s="22" t="str">
        <f t="shared" si="7"/>
        <v>março</v>
      </c>
      <c r="D83" t="s">
        <v>85</v>
      </c>
      <c r="E83" t="str">
        <f>IFERROR(VLOOKUP(D83,[1]Cadastro!$B$4:$H$100,2,FALSE),"")</f>
        <v>Farmácia</v>
      </c>
      <c r="F83" t="str">
        <f>IFERROR(VLOOKUP(D83,[1]Cadastro!$B$4:$H$100,3,FALSE),"")</f>
        <v>R1</v>
      </c>
      <c r="G83" t="s">
        <v>207</v>
      </c>
      <c r="H83" t="s">
        <v>208</v>
      </c>
      <c r="I83" t="s">
        <v>36</v>
      </c>
      <c r="J83" s="22" t="s">
        <v>159</v>
      </c>
      <c r="K83" s="22" t="s">
        <v>145</v>
      </c>
      <c r="L83" s="22" t="s">
        <v>168</v>
      </c>
      <c r="M83" s="22" t="s">
        <v>148</v>
      </c>
      <c r="N83" s="7"/>
      <c r="O83" s="7"/>
      <c r="P83" s="8">
        <f t="shared" si="8"/>
        <v>8.9999999999999982</v>
      </c>
      <c r="Q83" s="8">
        <f t="shared" si="9"/>
        <v>8.9999999999999982</v>
      </c>
      <c r="R83" s="8">
        <f t="shared" si="10"/>
        <v>0</v>
      </c>
    </row>
    <row r="84" spans="1:18">
      <c r="A84" s="16">
        <v>46098</v>
      </c>
      <c r="B84" s="22">
        <f t="shared" si="6"/>
        <v>2026</v>
      </c>
      <c r="C84" s="22" t="str">
        <f t="shared" si="7"/>
        <v>março</v>
      </c>
      <c r="D84" t="s">
        <v>85</v>
      </c>
      <c r="E84" t="str">
        <f>IFERROR(VLOOKUP(D84,[1]Cadastro!$B$4:$H$100,2,FALSE),"")</f>
        <v>Farmácia</v>
      </c>
      <c r="F84" t="str">
        <f>IFERROR(VLOOKUP(D84,[1]Cadastro!$B$4:$H$100,3,FALSE),"")</f>
        <v>R1</v>
      </c>
      <c r="G84" t="s">
        <v>207</v>
      </c>
      <c r="H84" t="s">
        <v>208</v>
      </c>
      <c r="I84" t="s">
        <v>36</v>
      </c>
      <c r="J84" s="22" t="s">
        <v>179</v>
      </c>
      <c r="K84" s="22" t="s">
        <v>147</v>
      </c>
      <c r="L84" s="22" t="s">
        <v>162</v>
      </c>
      <c r="M84" s="22" t="s">
        <v>152</v>
      </c>
      <c r="N84" s="7"/>
      <c r="O84" s="7"/>
      <c r="P84" s="8">
        <f t="shared" si="8"/>
        <v>8.9333333333333336</v>
      </c>
      <c r="Q84" s="8">
        <f t="shared" si="9"/>
        <v>8.9333333333333336</v>
      </c>
      <c r="R84" s="8">
        <f t="shared" si="10"/>
        <v>0</v>
      </c>
    </row>
    <row r="85" spans="1:18">
      <c r="A85" s="16">
        <v>46099</v>
      </c>
      <c r="B85" s="22">
        <f t="shared" si="6"/>
        <v>2026</v>
      </c>
      <c r="C85" s="22" t="str">
        <f t="shared" si="7"/>
        <v>março</v>
      </c>
      <c r="D85" t="s">
        <v>85</v>
      </c>
      <c r="E85" t="str">
        <f>IFERROR(VLOOKUP(D85,[1]Cadastro!$B$4:$H$100,2,FALSE),"")</f>
        <v>Farmácia</v>
      </c>
      <c r="F85" t="str">
        <f>IFERROR(VLOOKUP(D85,[1]Cadastro!$B$4:$H$100,3,FALSE),"")</f>
        <v>R1</v>
      </c>
      <c r="G85" t="s">
        <v>207</v>
      </c>
      <c r="H85" t="s">
        <v>208</v>
      </c>
      <c r="I85" t="s">
        <v>36</v>
      </c>
      <c r="J85" s="22" t="s">
        <v>159</v>
      </c>
      <c r="K85" s="23">
        <v>0.78125</v>
      </c>
      <c r="L85" s="22"/>
      <c r="M85" s="22"/>
      <c r="N85" s="7"/>
      <c r="O85" s="7"/>
      <c r="P85" s="8">
        <f t="shared" si="8"/>
        <v>11.75</v>
      </c>
      <c r="Q85" s="8">
        <f t="shared" si="9"/>
        <v>11.75</v>
      </c>
      <c r="R85" s="8">
        <f t="shared" si="10"/>
        <v>0</v>
      </c>
    </row>
    <row r="86" spans="1:18">
      <c r="A86" s="16">
        <v>46100</v>
      </c>
      <c r="B86" s="22">
        <f t="shared" si="6"/>
        <v>2026</v>
      </c>
      <c r="C86" s="22" t="str">
        <f t="shared" si="7"/>
        <v>março</v>
      </c>
      <c r="D86" t="s">
        <v>85</v>
      </c>
      <c r="E86" t="str">
        <f>IFERROR(VLOOKUP(D86,[1]Cadastro!$B$4:$H$100,2,FALSE),"")</f>
        <v>Farmácia</v>
      </c>
      <c r="F86" t="str">
        <f>IFERROR(VLOOKUP(D86,[1]Cadastro!$B$4:$H$100,3,FALSE),"")</f>
        <v>R1</v>
      </c>
      <c r="G86" t="s">
        <v>207</v>
      </c>
      <c r="H86" t="s">
        <v>208</v>
      </c>
      <c r="I86" t="s">
        <v>36</v>
      </c>
      <c r="J86" s="22" t="s">
        <v>169</v>
      </c>
      <c r="K86" s="22" t="s">
        <v>183</v>
      </c>
      <c r="L86" s="22" t="s">
        <v>184</v>
      </c>
      <c r="M86" s="22" t="s">
        <v>148</v>
      </c>
      <c r="N86" s="7"/>
      <c r="O86" s="7"/>
      <c r="P86" s="8">
        <f t="shared" si="8"/>
        <v>9.4666666666666632</v>
      </c>
      <c r="Q86" s="8">
        <f t="shared" si="9"/>
        <v>9.4666666666666632</v>
      </c>
      <c r="R86" s="8">
        <f t="shared" si="10"/>
        <v>0</v>
      </c>
    </row>
    <row r="87" spans="1:18">
      <c r="A87" s="16">
        <v>46101</v>
      </c>
      <c r="B87" s="22">
        <f t="shared" si="6"/>
        <v>2026</v>
      </c>
      <c r="C87" s="22" t="str">
        <f t="shared" si="7"/>
        <v>março</v>
      </c>
      <c r="D87" t="s">
        <v>85</v>
      </c>
      <c r="E87" t="str">
        <f>IFERROR(VLOOKUP(D87,[1]Cadastro!$B$4:$H$100,2,FALSE),"")</f>
        <v>Farmácia</v>
      </c>
      <c r="F87" t="str">
        <f>IFERROR(VLOOKUP(D87,[1]Cadastro!$B$4:$H$100,3,FALSE),"")</f>
        <v>R1</v>
      </c>
      <c r="G87" t="s">
        <v>207</v>
      </c>
      <c r="H87" t="s">
        <v>208</v>
      </c>
      <c r="I87" t="s">
        <v>36</v>
      </c>
      <c r="J87" s="22" t="s">
        <v>179</v>
      </c>
      <c r="K87" s="23">
        <v>0.73125000000000007</v>
      </c>
      <c r="L87" s="22"/>
      <c r="M87" s="22"/>
      <c r="N87" s="7"/>
      <c r="O87" s="7"/>
      <c r="P87" s="8">
        <f t="shared" si="8"/>
        <v>10.516666666666667</v>
      </c>
      <c r="Q87" s="8">
        <f t="shared" si="9"/>
        <v>10.516666666666667</v>
      </c>
      <c r="R87" s="8">
        <f t="shared" si="10"/>
        <v>0</v>
      </c>
    </row>
    <row r="88" spans="1:18">
      <c r="A88" s="19">
        <v>46102</v>
      </c>
      <c r="B88" s="24">
        <f t="shared" si="6"/>
        <v>2026</v>
      </c>
      <c r="C88" s="24" t="str">
        <f t="shared" si="7"/>
        <v>março</v>
      </c>
      <c r="D88" s="20" t="s">
        <v>85</v>
      </c>
      <c r="E88" s="20" t="str">
        <f>IFERROR(VLOOKUP(D88,[1]Cadastro!$B$4:$H$100,2,FALSE),"")</f>
        <v>Farmácia</v>
      </c>
      <c r="F88" s="20" t="str">
        <f>IFERROR(VLOOKUP(D88,[1]Cadastro!$B$4:$H$100,3,FALSE),"")</f>
        <v>R1</v>
      </c>
      <c r="G88" s="20" t="s">
        <v>207</v>
      </c>
      <c r="H88" s="20" t="s">
        <v>208</v>
      </c>
      <c r="I88" s="20" t="s">
        <v>36</v>
      </c>
      <c r="J88" s="24"/>
      <c r="K88" s="24"/>
      <c r="L88" s="24"/>
      <c r="M88" s="24"/>
      <c r="N88" s="32"/>
      <c r="O88" s="32"/>
      <c r="P88" s="21">
        <f t="shared" si="8"/>
        <v>0</v>
      </c>
      <c r="Q88" s="21">
        <f t="shared" si="9"/>
        <v>0</v>
      </c>
      <c r="R88" s="21">
        <f t="shared" si="10"/>
        <v>0</v>
      </c>
    </row>
    <row r="89" spans="1:18">
      <c r="A89" s="19">
        <v>46103</v>
      </c>
      <c r="B89" s="24">
        <f t="shared" si="6"/>
        <v>2026</v>
      </c>
      <c r="C89" s="24" t="str">
        <f t="shared" si="7"/>
        <v>março</v>
      </c>
      <c r="D89" s="20" t="s">
        <v>85</v>
      </c>
      <c r="E89" s="20" t="str">
        <f>IFERROR(VLOOKUP(D89,[1]Cadastro!$B$4:$H$100,2,FALSE),"")</f>
        <v>Farmácia</v>
      </c>
      <c r="F89" s="20" t="str">
        <f>IFERROR(VLOOKUP(D89,[1]Cadastro!$B$4:$H$100,3,FALSE),"")</f>
        <v>R1</v>
      </c>
      <c r="G89" s="20" t="s">
        <v>207</v>
      </c>
      <c r="H89" s="20" t="s">
        <v>208</v>
      </c>
      <c r="I89" s="20" t="s">
        <v>36</v>
      </c>
      <c r="J89" s="24"/>
      <c r="K89" s="24"/>
      <c r="L89" s="24"/>
      <c r="M89" s="24"/>
      <c r="N89" s="32"/>
      <c r="O89" s="32"/>
      <c r="P89" s="21">
        <f t="shared" si="8"/>
        <v>0</v>
      </c>
      <c r="Q89" s="21">
        <f t="shared" si="9"/>
        <v>0</v>
      </c>
      <c r="R89" s="21">
        <f t="shared" si="10"/>
        <v>0</v>
      </c>
    </row>
    <row r="90" spans="1:18">
      <c r="A90" s="16">
        <v>46104</v>
      </c>
      <c r="B90" s="22">
        <f t="shared" si="6"/>
        <v>2026</v>
      </c>
      <c r="C90" s="22" t="str">
        <f t="shared" si="7"/>
        <v>março</v>
      </c>
      <c r="D90" t="s">
        <v>85</v>
      </c>
      <c r="E90" t="str">
        <f>IFERROR(VLOOKUP(D90,[1]Cadastro!$B$4:$H$100,2,FALSE),"")</f>
        <v>Farmácia</v>
      </c>
      <c r="F90" t="str">
        <f>IFERROR(VLOOKUP(D90,[1]Cadastro!$B$4:$H$100,3,FALSE),"")</f>
        <v>R1</v>
      </c>
      <c r="G90" t="s">
        <v>207</v>
      </c>
      <c r="H90" t="s">
        <v>208</v>
      </c>
      <c r="I90" t="s">
        <v>36</v>
      </c>
      <c r="J90" s="23">
        <v>0.29444444444444445</v>
      </c>
      <c r="K90" s="23">
        <v>0.50347222222222221</v>
      </c>
      <c r="L90" s="23">
        <v>0.54305555555555551</v>
      </c>
      <c r="M90" s="23">
        <v>0.72986111111111107</v>
      </c>
      <c r="N90" s="7"/>
      <c r="O90" s="7"/>
      <c r="P90" s="8">
        <f t="shared" si="8"/>
        <v>9.5</v>
      </c>
      <c r="Q90" s="8">
        <f t="shared" si="9"/>
        <v>9.5</v>
      </c>
      <c r="R90" s="8">
        <f t="shared" si="10"/>
        <v>0</v>
      </c>
    </row>
    <row r="91" spans="1:18">
      <c r="A91" s="16">
        <v>46105</v>
      </c>
      <c r="B91" s="22">
        <f t="shared" si="6"/>
        <v>2026</v>
      </c>
      <c r="C91" s="22" t="str">
        <f t="shared" si="7"/>
        <v>março</v>
      </c>
      <c r="D91" t="s">
        <v>85</v>
      </c>
      <c r="E91" t="str">
        <f>IFERROR(VLOOKUP(D91,[1]Cadastro!$B$4:$H$100,2,FALSE),"")</f>
        <v>Farmácia</v>
      </c>
      <c r="F91" t="str">
        <f>IFERROR(VLOOKUP(D91,[1]Cadastro!$B$4:$H$100,3,FALSE),"")</f>
        <v>R1</v>
      </c>
      <c r="G91" t="s">
        <v>207</v>
      </c>
      <c r="H91" t="s">
        <v>208</v>
      </c>
      <c r="I91" t="s">
        <v>36</v>
      </c>
      <c r="J91" s="23">
        <v>0.29166666666666669</v>
      </c>
      <c r="K91" s="23">
        <v>0.50208333333333333</v>
      </c>
      <c r="L91" s="23">
        <v>0.56527777777777777</v>
      </c>
      <c r="M91" s="23">
        <v>0.73055555555555562</v>
      </c>
      <c r="N91" s="7"/>
      <c r="O91" s="7"/>
      <c r="P91" s="8">
        <f t="shared" si="8"/>
        <v>9.0166666666666675</v>
      </c>
      <c r="Q91" s="8">
        <f t="shared" si="9"/>
        <v>9.0166666666666675</v>
      </c>
      <c r="R91" s="8">
        <f t="shared" si="10"/>
        <v>0</v>
      </c>
    </row>
    <row r="92" spans="1:18">
      <c r="A92" s="16">
        <v>46106</v>
      </c>
      <c r="B92" s="22">
        <f t="shared" si="6"/>
        <v>2026</v>
      </c>
      <c r="C92" s="22" t="str">
        <f t="shared" si="7"/>
        <v>março</v>
      </c>
      <c r="D92" t="s">
        <v>85</v>
      </c>
      <c r="E92" t="str">
        <f>IFERROR(VLOOKUP(D92,[1]Cadastro!$B$4:$H$100,2,FALSE),"")</f>
        <v>Farmácia</v>
      </c>
      <c r="F92" t="str">
        <f>IFERROR(VLOOKUP(D92,[1]Cadastro!$B$4:$H$100,3,FALSE),"")</f>
        <v>R1</v>
      </c>
      <c r="G92" t="s">
        <v>207</v>
      </c>
      <c r="H92" t="s">
        <v>208</v>
      </c>
      <c r="I92" t="s">
        <v>36</v>
      </c>
      <c r="J92" s="23">
        <v>0.29375000000000001</v>
      </c>
      <c r="K92" s="23">
        <v>0.72916666666666663</v>
      </c>
      <c r="L92" s="22"/>
      <c r="M92" s="22"/>
      <c r="N92" s="7"/>
      <c r="O92" s="7"/>
      <c r="P92" s="8">
        <f t="shared" si="8"/>
        <v>10.45</v>
      </c>
      <c r="Q92" s="8">
        <f t="shared" si="9"/>
        <v>10.45</v>
      </c>
      <c r="R92" s="8">
        <f t="shared" si="10"/>
        <v>0</v>
      </c>
    </row>
    <row r="93" spans="1:18">
      <c r="A93" s="16">
        <v>46107</v>
      </c>
      <c r="B93" s="22">
        <f t="shared" si="6"/>
        <v>2026</v>
      </c>
      <c r="C93" s="22" t="str">
        <f t="shared" si="7"/>
        <v>março</v>
      </c>
      <c r="D93" t="s">
        <v>85</v>
      </c>
      <c r="E93" t="str">
        <f>IFERROR(VLOOKUP(D93,[1]Cadastro!$B$4:$H$100,2,FALSE),"")</f>
        <v>Farmácia</v>
      </c>
      <c r="F93" t="str">
        <f>IFERROR(VLOOKUP(D93,[1]Cadastro!$B$4:$H$100,3,FALSE),"")</f>
        <v>R1</v>
      </c>
      <c r="G93" t="s">
        <v>207</v>
      </c>
      <c r="H93" t="s">
        <v>208</v>
      </c>
      <c r="I93" t="s">
        <v>52</v>
      </c>
      <c r="J93" s="25"/>
      <c r="K93" s="25"/>
      <c r="L93" s="25"/>
      <c r="M93" s="25"/>
      <c r="N93" s="7"/>
      <c r="O93" s="7"/>
      <c r="P93" s="8">
        <f t="shared" si="8"/>
        <v>0</v>
      </c>
      <c r="Q93" s="8">
        <f t="shared" si="9"/>
        <v>0</v>
      </c>
      <c r="R93" s="8">
        <f t="shared" si="10"/>
        <v>0</v>
      </c>
    </row>
    <row r="94" spans="1:18">
      <c r="A94" s="16">
        <v>46108</v>
      </c>
      <c r="B94" s="22">
        <f t="shared" si="6"/>
        <v>2026</v>
      </c>
      <c r="C94" s="22" t="str">
        <f t="shared" si="7"/>
        <v>março</v>
      </c>
      <c r="D94" t="s">
        <v>85</v>
      </c>
      <c r="E94" t="str">
        <f>IFERROR(VLOOKUP(D94,[1]Cadastro!$B$4:$H$100,2,FALSE),"")</f>
        <v>Farmácia</v>
      </c>
      <c r="F94" t="str">
        <f>IFERROR(VLOOKUP(D94,[1]Cadastro!$B$4:$H$100,3,FALSE),"")</f>
        <v>R1</v>
      </c>
      <c r="G94" t="s">
        <v>207</v>
      </c>
      <c r="H94" t="s">
        <v>208</v>
      </c>
      <c r="I94" t="s">
        <v>52</v>
      </c>
      <c r="J94" s="25"/>
      <c r="K94" s="25"/>
      <c r="L94" s="25"/>
      <c r="M94" s="25"/>
      <c r="N94" s="7"/>
      <c r="O94" s="7"/>
      <c r="P94" s="8">
        <f t="shared" si="8"/>
        <v>0</v>
      </c>
      <c r="Q94" s="8">
        <f t="shared" si="9"/>
        <v>0</v>
      </c>
      <c r="R94" s="8">
        <f t="shared" si="10"/>
        <v>0</v>
      </c>
    </row>
    <row r="95" spans="1:18">
      <c r="A95" s="19">
        <v>46109</v>
      </c>
      <c r="B95" s="24">
        <f t="shared" si="6"/>
        <v>2026</v>
      </c>
      <c r="C95" s="24" t="str">
        <f t="shared" si="7"/>
        <v>março</v>
      </c>
      <c r="D95" s="20" t="s">
        <v>85</v>
      </c>
      <c r="E95" s="20" t="str">
        <f>IFERROR(VLOOKUP(D95,[1]Cadastro!$B$4:$H$100,2,FALSE),"")</f>
        <v>Farmácia</v>
      </c>
      <c r="F95" s="20" t="str">
        <f>IFERROR(VLOOKUP(D95,[1]Cadastro!$B$4:$H$100,3,FALSE),"")</f>
        <v>R1</v>
      </c>
      <c r="G95" s="20" t="s">
        <v>207</v>
      </c>
      <c r="H95" s="20" t="s">
        <v>208</v>
      </c>
      <c r="I95" s="20" t="s">
        <v>36</v>
      </c>
      <c r="J95" s="18"/>
      <c r="K95" s="18"/>
      <c r="L95" s="18"/>
      <c r="M95" s="18"/>
      <c r="N95" s="32"/>
      <c r="O95" s="32"/>
      <c r="P95" s="21">
        <f t="shared" si="8"/>
        <v>0</v>
      </c>
      <c r="Q95" s="21">
        <f t="shared" si="9"/>
        <v>0</v>
      </c>
      <c r="R95" s="21">
        <f t="shared" si="10"/>
        <v>0</v>
      </c>
    </row>
    <row r="96" spans="1:18">
      <c r="A96" s="19">
        <v>46110</v>
      </c>
      <c r="B96" s="24">
        <f t="shared" si="6"/>
        <v>2026</v>
      </c>
      <c r="C96" s="24" t="str">
        <f t="shared" si="7"/>
        <v>março</v>
      </c>
      <c r="D96" s="20" t="s">
        <v>85</v>
      </c>
      <c r="E96" s="20" t="str">
        <f>IFERROR(VLOOKUP(D96,[1]Cadastro!$B$4:$H$100,2,FALSE),"")</f>
        <v>Farmácia</v>
      </c>
      <c r="F96" s="20" t="str">
        <f>IFERROR(VLOOKUP(D96,[1]Cadastro!$B$4:$H$100,3,FALSE),"")</f>
        <v>R1</v>
      </c>
      <c r="G96" s="20" t="s">
        <v>207</v>
      </c>
      <c r="H96" s="20" t="s">
        <v>208</v>
      </c>
      <c r="I96" s="20" t="s">
        <v>36</v>
      </c>
      <c r="J96" s="18"/>
      <c r="K96" s="18"/>
      <c r="L96" s="18"/>
      <c r="M96" s="18"/>
      <c r="N96" s="32"/>
      <c r="O96" s="32"/>
      <c r="P96" s="21">
        <f t="shared" si="8"/>
        <v>0</v>
      </c>
      <c r="Q96" s="21">
        <f t="shared" si="9"/>
        <v>0</v>
      </c>
      <c r="R96" s="21">
        <f t="shared" si="10"/>
        <v>0</v>
      </c>
    </row>
    <row r="97" spans="1:18">
      <c r="A97" s="16">
        <v>46111</v>
      </c>
      <c r="B97" s="22">
        <f t="shared" si="6"/>
        <v>2026</v>
      </c>
      <c r="C97" s="22" t="str">
        <f t="shared" si="7"/>
        <v>março</v>
      </c>
      <c r="D97" t="s">
        <v>85</v>
      </c>
      <c r="E97" t="str">
        <f>IFERROR(VLOOKUP(D97,[1]Cadastro!$B$4:$H$100,2,FALSE),"")</f>
        <v>Farmácia</v>
      </c>
      <c r="F97" t="str">
        <f>IFERROR(VLOOKUP(D97,[1]Cadastro!$B$4:$H$100,3,FALSE),"")</f>
        <v>R1</v>
      </c>
      <c r="G97" t="s">
        <v>207</v>
      </c>
      <c r="H97" t="s">
        <v>208</v>
      </c>
      <c r="I97" t="s">
        <v>52</v>
      </c>
      <c r="J97" s="26"/>
      <c r="K97" s="26"/>
      <c r="L97" s="26"/>
      <c r="M97" s="26"/>
      <c r="N97" s="7"/>
      <c r="O97" s="7"/>
      <c r="P97" s="8">
        <f t="shared" si="8"/>
        <v>0</v>
      </c>
      <c r="Q97" s="8">
        <f t="shared" si="9"/>
        <v>0</v>
      </c>
      <c r="R97" s="8">
        <f t="shared" si="10"/>
        <v>0</v>
      </c>
    </row>
    <row r="98" spans="1:18">
      <c r="A98" s="16">
        <v>46112</v>
      </c>
      <c r="B98" s="22">
        <f t="shared" si="6"/>
        <v>2026</v>
      </c>
      <c r="C98" s="22" t="str">
        <f t="shared" si="7"/>
        <v>março</v>
      </c>
      <c r="D98" t="s">
        <v>85</v>
      </c>
      <c r="E98" t="str">
        <f>IFERROR(VLOOKUP(D98,[1]Cadastro!$B$4:$H$100,2,FALSE),"")</f>
        <v>Farmácia</v>
      </c>
      <c r="F98" t="str">
        <f>IFERROR(VLOOKUP(D98,[1]Cadastro!$B$4:$H$100,3,FALSE),"")</f>
        <v>R1</v>
      </c>
      <c r="G98" t="s">
        <v>207</v>
      </c>
      <c r="H98" t="s">
        <v>208</v>
      </c>
      <c r="I98" t="s">
        <v>36</v>
      </c>
      <c r="J98" s="17">
        <v>0.29236111111111113</v>
      </c>
      <c r="K98" s="17">
        <v>0.73263888888888884</v>
      </c>
      <c r="L98" s="17"/>
      <c r="M98" s="17"/>
      <c r="N98" s="7"/>
      <c r="O98" s="7"/>
      <c r="P98" s="8">
        <f t="shared" si="8"/>
        <v>10.566666666666665</v>
      </c>
      <c r="Q98" s="8">
        <f t="shared" si="9"/>
        <v>10.566666666666665</v>
      </c>
      <c r="R98" s="8">
        <f t="shared" si="10"/>
        <v>0</v>
      </c>
    </row>
    <row r="99" spans="1:18">
      <c r="A99" s="6"/>
      <c r="B99" t="str">
        <f t="shared" si="6"/>
        <v/>
      </c>
      <c r="C99" t="str">
        <f t="shared" si="7"/>
        <v/>
      </c>
      <c r="E99" t="str">
        <f>IFERROR(VLOOKUP(D99,Cadastro!$B$4:$H$100,2,FALSE),"")</f>
        <v/>
      </c>
      <c r="F99" t="str">
        <f>IFERROR(VLOOKUP(D99,Cadastro!$B$4:$H$100,3,FALSE),"")</f>
        <v/>
      </c>
      <c r="J99" s="7"/>
      <c r="K99" s="7"/>
      <c r="L99" s="7"/>
      <c r="M99" s="7"/>
      <c r="N99" s="7"/>
      <c r="O99" s="7"/>
      <c r="P99" s="8">
        <f t="shared" si="8"/>
        <v>0</v>
      </c>
      <c r="Q99" s="8">
        <f t="shared" si="9"/>
        <v>0</v>
      </c>
      <c r="R99" s="8">
        <f t="shared" si="10"/>
        <v>0</v>
      </c>
    </row>
    <row r="100" spans="1:18">
      <c r="A100" s="16">
        <v>46082</v>
      </c>
      <c r="B100">
        <f t="shared" si="6"/>
        <v>2026</v>
      </c>
      <c r="C100" t="str">
        <f t="shared" si="7"/>
        <v>março</v>
      </c>
      <c r="D100" t="s">
        <v>86</v>
      </c>
      <c r="E100" t="str">
        <f>IFERROR(VLOOKUP(D100,Cadastro!$B$4:$H$100,2,FALSE),"")</f>
        <v>Fisioterapia</v>
      </c>
      <c r="F100" t="str">
        <f>IFERROR(VLOOKUP(D100,Cadastro!$B$4:$H$100,3,FALSE),"")</f>
        <v>R1</v>
      </c>
      <c r="G100" t="s">
        <v>201</v>
      </c>
      <c r="H100" t="s">
        <v>209</v>
      </c>
      <c r="I100" t="s">
        <v>36</v>
      </c>
      <c r="J100" s="7"/>
      <c r="K100" s="7"/>
      <c r="L100" s="7"/>
      <c r="M100" s="7"/>
      <c r="N100" s="7"/>
      <c r="O100" s="7"/>
      <c r="P100" s="8">
        <f t="shared" si="8"/>
        <v>0</v>
      </c>
      <c r="Q100" s="8">
        <f t="shared" si="9"/>
        <v>0</v>
      </c>
      <c r="R100" s="8">
        <f t="shared" si="10"/>
        <v>0</v>
      </c>
    </row>
    <row r="101" spans="1:18">
      <c r="A101" s="16">
        <v>46083</v>
      </c>
      <c r="B101">
        <f t="shared" si="6"/>
        <v>2026</v>
      </c>
      <c r="C101" t="str">
        <f t="shared" si="7"/>
        <v>março</v>
      </c>
      <c r="D101" t="s">
        <v>86</v>
      </c>
      <c r="E101" t="str">
        <f>IFERROR(VLOOKUP(D101,Cadastro!$B$4:$H$100,2,FALSE),"")</f>
        <v>Fisioterapia</v>
      </c>
      <c r="F101" t="str">
        <f>IFERROR(VLOOKUP(D101,Cadastro!$B$4:$H$100,3,FALSE),"")</f>
        <v>R1</v>
      </c>
      <c r="G101" t="s">
        <v>201</v>
      </c>
      <c r="H101" t="s">
        <v>209</v>
      </c>
      <c r="I101" t="s">
        <v>36</v>
      </c>
      <c r="J101" s="7"/>
      <c r="K101" s="7"/>
      <c r="L101" s="7"/>
      <c r="M101" s="7"/>
      <c r="N101" s="7"/>
      <c r="O101" s="7"/>
      <c r="P101" s="8">
        <f t="shared" si="8"/>
        <v>0</v>
      </c>
      <c r="Q101" s="8">
        <f t="shared" si="9"/>
        <v>0</v>
      </c>
      <c r="R101" s="8">
        <f t="shared" si="10"/>
        <v>0</v>
      </c>
    </row>
    <row r="102" spans="1:18">
      <c r="A102" s="16">
        <v>46084</v>
      </c>
      <c r="B102">
        <f t="shared" si="6"/>
        <v>2026</v>
      </c>
      <c r="C102" t="str">
        <f t="shared" si="7"/>
        <v>março</v>
      </c>
      <c r="D102" t="s">
        <v>86</v>
      </c>
      <c r="E102" t="str">
        <f>IFERROR(VLOOKUP(D102,Cadastro!$B$4:$H$100,2,FALSE),"")</f>
        <v>Fisioterapia</v>
      </c>
      <c r="F102" t="str">
        <f>IFERROR(VLOOKUP(D102,Cadastro!$B$4:$H$100,3,FALSE),"")</f>
        <v>R1</v>
      </c>
      <c r="G102" t="s">
        <v>201</v>
      </c>
      <c r="H102" t="s">
        <v>209</v>
      </c>
      <c r="I102" t="s">
        <v>36</v>
      </c>
      <c r="J102" s="7"/>
      <c r="K102" s="7"/>
      <c r="L102" s="7"/>
      <c r="M102" s="7"/>
      <c r="N102" s="7"/>
      <c r="O102" s="7"/>
      <c r="P102" s="8">
        <f t="shared" si="8"/>
        <v>0</v>
      </c>
      <c r="Q102" s="8">
        <f t="shared" si="9"/>
        <v>0</v>
      </c>
      <c r="R102" s="8">
        <f t="shared" si="10"/>
        <v>0</v>
      </c>
    </row>
    <row r="103" spans="1:18">
      <c r="A103" s="16">
        <v>46085</v>
      </c>
      <c r="B103">
        <f t="shared" si="6"/>
        <v>2026</v>
      </c>
      <c r="C103" t="str">
        <f t="shared" si="7"/>
        <v>março</v>
      </c>
      <c r="D103" t="s">
        <v>86</v>
      </c>
      <c r="E103" t="str">
        <f>IFERROR(VLOOKUP(D103,Cadastro!$B$4:$H$100,2,FALSE),"")</f>
        <v>Fisioterapia</v>
      </c>
      <c r="F103" t="str">
        <f>IFERROR(VLOOKUP(D103,Cadastro!$B$4:$H$100,3,FALSE),"")</f>
        <v>R1</v>
      </c>
      <c r="G103" t="s">
        <v>201</v>
      </c>
      <c r="H103" t="s">
        <v>209</v>
      </c>
      <c r="I103" t="s">
        <v>36</v>
      </c>
      <c r="J103" s="7"/>
      <c r="K103" s="7"/>
      <c r="L103" s="7"/>
      <c r="M103" s="7"/>
      <c r="N103" s="7"/>
      <c r="O103" s="7"/>
      <c r="P103" s="8">
        <f t="shared" si="8"/>
        <v>0</v>
      </c>
      <c r="Q103" s="8">
        <f t="shared" si="9"/>
        <v>0</v>
      </c>
      <c r="R103" s="8">
        <f t="shared" si="10"/>
        <v>0</v>
      </c>
    </row>
    <row r="104" spans="1:18">
      <c r="A104" s="16">
        <v>46086</v>
      </c>
      <c r="B104">
        <f t="shared" si="6"/>
        <v>2026</v>
      </c>
      <c r="C104" t="str">
        <f t="shared" si="7"/>
        <v>março</v>
      </c>
      <c r="D104" t="s">
        <v>86</v>
      </c>
      <c r="E104" t="str">
        <f>IFERROR(VLOOKUP(D104,Cadastro!$B$4:$H$100,2,FALSE),"")</f>
        <v>Fisioterapia</v>
      </c>
      <c r="F104" t="str">
        <f>IFERROR(VLOOKUP(D104,Cadastro!$B$4:$H$100,3,FALSE),"")</f>
        <v>R1</v>
      </c>
      <c r="G104" t="s">
        <v>201</v>
      </c>
      <c r="H104" t="s">
        <v>209</v>
      </c>
      <c r="I104" t="s">
        <v>36</v>
      </c>
      <c r="J104" s="7"/>
      <c r="K104" s="7"/>
      <c r="L104" s="7"/>
      <c r="M104" s="7"/>
      <c r="N104" s="7"/>
      <c r="O104" s="7"/>
      <c r="P104" s="8">
        <f t="shared" si="8"/>
        <v>0</v>
      </c>
      <c r="Q104" s="8">
        <f t="shared" si="9"/>
        <v>0</v>
      </c>
      <c r="R104" s="8">
        <f t="shared" si="10"/>
        <v>0</v>
      </c>
    </row>
    <row r="105" spans="1:18">
      <c r="A105" s="16">
        <v>46087</v>
      </c>
      <c r="B105">
        <f t="shared" si="6"/>
        <v>2026</v>
      </c>
      <c r="C105" t="str">
        <f t="shared" si="7"/>
        <v>março</v>
      </c>
      <c r="D105" t="s">
        <v>86</v>
      </c>
      <c r="E105" t="str">
        <f>IFERROR(VLOOKUP(D105,Cadastro!$B$4:$H$100,2,FALSE),"")</f>
        <v>Fisioterapia</v>
      </c>
      <c r="F105" t="str">
        <f>IFERROR(VLOOKUP(D105,Cadastro!$B$4:$H$100,3,FALSE),"")</f>
        <v>R1</v>
      </c>
      <c r="G105" t="s">
        <v>201</v>
      </c>
      <c r="H105" t="s">
        <v>209</v>
      </c>
      <c r="I105" t="s">
        <v>36</v>
      </c>
      <c r="J105" s="7"/>
      <c r="K105" s="7"/>
      <c r="L105" s="7"/>
      <c r="M105" s="7"/>
      <c r="N105" s="7"/>
      <c r="O105" s="7"/>
      <c r="P105" s="8">
        <f t="shared" si="8"/>
        <v>0</v>
      </c>
      <c r="Q105" s="8">
        <f t="shared" si="9"/>
        <v>0</v>
      </c>
      <c r="R105" s="8">
        <f t="shared" si="10"/>
        <v>0</v>
      </c>
    </row>
    <row r="106" spans="1:18">
      <c r="A106" s="16">
        <v>46088</v>
      </c>
      <c r="B106">
        <f t="shared" si="6"/>
        <v>2026</v>
      </c>
      <c r="C106" t="str">
        <f t="shared" si="7"/>
        <v>março</v>
      </c>
      <c r="D106" t="s">
        <v>86</v>
      </c>
      <c r="E106" t="str">
        <f>IFERROR(VLOOKUP(D106,Cadastro!$B$4:$H$100,2,FALSE),"")</f>
        <v>Fisioterapia</v>
      </c>
      <c r="F106" t="str">
        <f>IFERROR(VLOOKUP(D106,Cadastro!$B$4:$H$100,3,FALSE),"")</f>
        <v>R1</v>
      </c>
      <c r="G106" t="s">
        <v>201</v>
      </c>
      <c r="H106" t="s">
        <v>209</v>
      </c>
      <c r="I106" t="s">
        <v>36</v>
      </c>
      <c r="J106" s="7"/>
      <c r="K106" s="7"/>
      <c r="L106" s="7"/>
      <c r="M106" s="7"/>
      <c r="N106" s="7"/>
      <c r="O106" s="7"/>
      <c r="P106" s="8">
        <f t="shared" si="8"/>
        <v>0</v>
      </c>
      <c r="Q106" s="8">
        <f t="shared" si="9"/>
        <v>0</v>
      </c>
      <c r="R106" s="8">
        <f t="shared" si="10"/>
        <v>0</v>
      </c>
    </row>
    <row r="107" spans="1:18">
      <c r="A107" s="16">
        <v>46089</v>
      </c>
      <c r="B107">
        <f t="shared" si="6"/>
        <v>2026</v>
      </c>
      <c r="C107" t="str">
        <f t="shared" si="7"/>
        <v>março</v>
      </c>
      <c r="D107" t="s">
        <v>86</v>
      </c>
      <c r="E107" t="str">
        <f>IFERROR(VLOOKUP(D107,Cadastro!$B$4:$H$100,2,FALSE),"")</f>
        <v>Fisioterapia</v>
      </c>
      <c r="F107" t="str">
        <f>IFERROR(VLOOKUP(D107,Cadastro!$B$4:$H$100,3,FALSE),"")</f>
        <v>R1</v>
      </c>
      <c r="G107" t="s">
        <v>201</v>
      </c>
      <c r="H107" t="s">
        <v>209</v>
      </c>
      <c r="I107" t="s">
        <v>36</v>
      </c>
      <c r="J107" s="30">
        <v>0.33333333333333331</v>
      </c>
      <c r="K107" s="30">
        <v>0.70833333333333337</v>
      </c>
      <c r="L107" s="7"/>
      <c r="M107" s="7"/>
      <c r="N107" s="7"/>
      <c r="O107" s="7"/>
      <c r="P107" s="8" t="e">
        <f>IF(OR(#REF!="",#REF!=""),0,(#REF!-#REF!)*24)+IF(OR(L107="",M107=""),0,(M107-L107)*24)+IF(OR(N107="",O107=""),0,(O107-N107)*24)</f>
        <v>#REF!</v>
      </c>
      <c r="Q107" s="8" t="e">
        <f t="shared" si="9"/>
        <v>#REF!</v>
      </c>
      <c r="R107" s="8">
        <f t="shared" si="10"/>
        <v>0</v>
      </c>
    </row>
    <row r="108" spans="1:18">
      <c r="A108" s="16">
        <v>46090</v>
      </c>
      <c r="B108" s="22">
        <f t="shared" si="6"/>
        <v>2026</v>
      </c>
      <c r="C108" s="22" t="str">
        <f t="shared" si="7"/>
        <v>março</v>
      </c>
      <c r="D108" t="s">
        <v>86</v>
      </c>
      <c r="E108" t="str">
        <f>IFERROR(VLOOKUP(D108,[1]Cadastro!$B$4:$H$100,2,FALSE),"")</f>
        <v>Fisioterapia</v>
      </c>
      <c r="F108" t="str">
        <f>IFERROR(VLOOKUP(D108,[1]Cadastro!$B$4:$H$100,3,FALSE),"")</f>
        <v>R1</v>
      </c>
      <c r="G108" t="s">
        <v>201</v>
      </c>
      <c r="H108" t="s">
        <v>209</v>
      </c>
      <c r="I108" t="s">
        <v>36</v>
      </c>
      <c r="J108" s="30">
        <v>0.33333333333333331</v>
      </c>
      <c r="K108" s="30">
        <v>0.70833333333333337</v>
      </c>
      <c r="P108" s="8">
        <f>IF(OR(J107="",K107=""),0,(K107-J107)*24)+IF(OR(L108="",M108=""),0,(M108-L108)*24)+IF(OR(N108="",O108=""),0,(O108-N108)*24)</f>
        <v>9.0000000000000018</v>
      </c>
      <c r="Q108" s="8">
        <f t="shared" si="9"/>
        <v>9.0000000000000018</v>
      </c>
      <c r="R108" s="8">
        <f t="shared" si="10"/>
        <v>0</v>
      </c>
    </row>
    <row r="109" spans="1:18">
      <c r="A109" s="16">
        <v>46091</v>
      </c>
      <c r="B109" s="22">
        <f t="shared" si="6"/>
        <v>2026</v>
      </c>
      <c r="C109" s="22" t="str">
        <f t="shared" si="7"/>
        <v>março</v>
      </c>
      <c r="D109" t="s">
        <v>86</v>
      </c>
      <c r="E109" t="str">
        <f>IFERROR(VLOOKUP(D109,[1]Cadastro!$B$4:$H$100,2,FALSE),"")</f>
        <v>Fisioterapia</v>
      </c>
      <c r="F109" t="str">
        <f>IFERROR(VLOOKUP(D109,[1]Cadastro!$B$4:$H$100,3,FALSE),"")</f>
        <v>R1</v>
      </c>
      <c r="G109" t="s">
        <v>201</v>
      </c>
      <c r="H109" t="s">
        <v>209</v>
      </c>
      <c r="I109" t="s">
        <v>36</v>
      </c>
      <c r="J109" s="30">
        <v>0.33333333333333298</v>
      </c>
      <c r="K109" s="30">
        <v>0.70833333333333304</v>
      </c>
      <c r="P109" s="8">
        <f>IF(OR(J108="",K108=""),0,(K108-J108)*24)+IF(OR(L109="",M109=""),0,(M109-L109)*24)+IF(OR(N109="",O109=""),0,(O109-N109)*24)</f>
        <v>9.0000000000000018</v>
      </c>
      <c r="Q109" s="8">
        <f t="shared" si="9"/>
        <v>9.0000000000000018</v>
      </c>
      <c r="R109" s="8">
        <f t="shared" si="10"/>
        <v>0</v>
      </c>
    </row>
    <row r="110" spans="1:18">
      <c r="A110" s="16">
        <v>46092</v>
      </c>
      <c r="B110" s="22">
        <f t="shared" si="6"/>
        <v>2026</v>
      </c>
      <c r="C110" s="22" t="str">
        <f t="shared" si="7"/>
        <v>março</v>
      </c>
      <c r="D110" t="s">
        <v>86</v>
      </c>
      <c r="E110" t="str">
        <f>IFERROR(VLOOKUP(D110,[1]Cadastro!$B$4:$H$100,2,FALSE),"")</f>
        <v>Fisioterapia</v>
      </c>
      <c r="F110" t="str">
        <f>IFERROR(VLOOKUP(D110,[1]Cadastro!$B$4:$H$100,3,FALSE),"")</f>
        <v>R1</v>
      </c>
      <c r="G110" t="s">
        <v>201</v>
      </c>
      <c r="H110" t="s">
        <v>209</v>
      </c>
      <c r="I110" t="s">
        <v>36</v>
      </c>
      <c r="J110" s="30">
        <v>0.33333333333333298</v>
      </c>
      <c r="K110" s="30">
        <v>0.70833333333333304</v>
      </c>
      <c r="P110" s="8">
        <f>IF(OR(J109="",K109=""),0,(K109-J109)*24)+IF(OR(L110="",M110=""),0,(M110-L110)*24)+IF(OR(N110="",O110=""),0,(O110-N110)*24)</f>
        <v>9.0000000000000018</v>
      </c>
      <c r="Q110" s="8">
        <f t="shared" si="9"/>
        <v>9.0000000000000018</v>
      </c>
      <c r="R110" s="8">
        <f t="shared" si="10"/>
        <v>0</v>
      </c>
    </row>
    <row r="111" spans="1:18">
      <c r="A111" s="16">
        <v>46093</v>
      </c>
      <c r="B111" s="22">
        <f t="shared" si="6"/>
        <v>2026</v>
      </c>
      <c r="C111" s="22" t="str">
        <f t="shared" si="7"/>
        <v>março</v>
      </c>
      <c r="D111" t="s">
        <v>86</v>
      </c>
      <c r="E111" t="str">
        <f>IFERROR(VLOOKUP(D111,[1]Cadastro!$B$4:$H$100,2,FALSE),"")</f>
        <v>Fisioterapia</v>
      </c>
      <c r="F111" t="str">
        <f>IFERROR(VLOOKUP(D111,[1]Cadastro!$B$4:$H$100,3,FALSE),"")</f>
        <v>R1</v>
      </c>
      <c r="G111" t="s">
        <v>201</v>
      </c>
      <c r="H111" t="s">
        <v>209</v>
      </c>
      <c r="I111" t="s">
        <v>36</v>
      </c>
      <c r="J111" s="30">
        <v>0.33333333333333298</v>
      </c>
      <c r="K111" s="30">
        <v>0.70833333333333304</v>
      </c>
      <c r="P111" s="8">
        <f>IF(OR(J110="",K110=""),0,(K110-J110)*24)+IF(OR(L111="",M111=""),0,(M111-L111)*24)+IF(OR(N111="",O111=""),0,(O111-N111)*24)</f>
        <v>9.0000000000000018</v>
      </c>
      <c r="Q111" s="8">
        <f t="shared" si="9"/>
        <v>9.0000000000000018</v>
      </c>
      <c r="R111" s="8">
        <f t="shared" si="10"/>
        <v>0</v>
      </c>
    </row>
    <row r="112" spans="1:18">
      <c r="A112" s="16">
        <v>46094</v>
      </c>
      <c r="B112" s="22">
        <f t="shared" si="6"/>
        <v>2026</v>
      </c>
      <c r="C112" s="22" t="str">
        <f t="shared" si="7"/>
        <v>março</v>
      </c>
      <c r="D112" t="s">
        <v>86</v>
      </c>
      <c r="E112" t="str">
        <f>IFERROR(VLOOKUP(D112,[1]Cadastro!$B$4:$H$100,2,FALSE),"")</f>
        <v>Fisioterapia</v>
      </c>
      <c r="F112" t="str">
        <f>IFERROR(VLOOKUP(D112,[1]Cadastro!$B$4:$H$100,3,FALSE),"")</f>
        <v>R1</v>
      </c>
      <c r="G112" t="s">
        <v>201</v>
      </c>
      <c r="H112" t="s">
        <v>209</v>
      </c>
      <c r="I112" t="s">
        <v>36</v>
      </c>
      <c r="J112" s="30">
        <v>0.33333333333333298</v>
      </c>
      <c r="K112" s="30">
        <v>0.70833333333333304</v>
      </c>
      <c r="P112" s="8">
        <f>IF(OR(J111="",K111=""),0,(K111-J111)*24)+IF(OR(L112="",M112=""),0,(M112-L112)*24)+IF(OR(N112="",O112=""),0,(O112-N112)*24)</f>
        <v>9.0000000000000018</v>
      </c>
      <c r="Q112" s="8">
        <f t="shared" si="9"/>
        <v>9.0000000000000018</v>
      </c>
      <c r="R112" s="8">
        <f t="shared" si="10"/>
        <v>0</v>
      </c>
    </row>
    <row r="113" spans="1:18">
      <c r="A113" s="19">
        <v>46095</v>
      </c>
      <c r="B113" s="24">
        <f t="shared" si="6"/>
        <v>2026</v>
      </c>
      <c r="C113" s="24" t="str">
        <f t="shared" si="7"/>
        <v>março</v>
      </c>
      <c r="D113" s="20" t="s">
        <v>86</v>
      </c>
      <c r="E113" s="20" t="str">
        <f>IFERROR(VLOOKUP(D113,[1]Cadastro!$B$4:$H$100,2,FALSE),"")</f>
        <v>Fisioterapia</v>
      </c>
      <c r="F113" s="20" t="str">
        <f>IFERROR(VLOOKUP(D113,[1]Cadastro!$B$4:$H$100,3,FALSE),"")</f>
        <v>R1</v>
      </c>
      <c r="G113" s="20" t="s">
        <v>201</v>
      </c>
      <c r="H113" s="20" t="s">
        <v>209</v>
      </c>
      <c r="I113" s="20" t="s">
        <v>36</v>
      </c>
      <c r="J113" s="20"/>
      <c r="K113" s="20"/>
      <c r="L113" s="20"/>
      <c r="M113" s="20"/>
      <c r="N113" s="20"/>
      <c r="O113" s="20"/>
      <c r="P113" s="21">
        <f>IF(OR(J112="",K112=""),0,(K112-J112)*24)+IF(OR(L113="",M113=""),0,(M113-L113)*24)+IF(OR(N113="",O113=""),0,(O113-N113)*24)</f>
        <v>9.0000000000000018</v>
      </c>
      <c r="Q113" s="21">
        <f t="shared" si="9"/>
        <v>9.0000000000000018</v>
      </c>
      <c r="R113" s="21">
        <f t="shared" si="10"/>
        <v>0</v>
      </c>
    </row>
    <row r="114" spans="1:18">
      <c r="A114" s="19">
        <v>46096</v>
      </c>
      <c r="B114" s="24">
        <f t="shared" si="6"/>
        <v>2026</v>
      </c>
      <c r="C114" s="24" t="str">
        <f t="shared" si="7"/>
        <v>março</v>
      </c>
      <c r="D114" s="20" t="s">
        <v>86</v>
      </c>
      <c r="E114" s="20" t="str">
        <f>IFERROR(VLOOKUP(D114,[1]Cadastro!$B$4:$H$100,2,FALSE),"")</f>
        <v>Fisioterapia</v>
      </c>
      <c r="F114" s="20" t="str">
        <f>IFERROR(VLOOKUP(D114,[1]Cadastro!$B$4:$H$100,3,FALSE),"")</f>
        <v>R1</v>
      </c>
      <c r="G114" s="20" t="s">
        <v>201</v>
      </c>
      <c r="H114" s="20" t="s">
        <v>209</v>
      </c>
      <c r="I114" s="20" t="s">
        <v>36</v>
      </c>
      <c r="J114" s="20"/>
      <c r="K114" s="20"/>
      <c r="L114" s="20"/>
      <c r="M114" s="20"/>
      <c r="N114" s="20"/>
      <c r="O114" s="20"/>
      <c r="P114" s="21">
        <f t="shared" si="8"/>
        <v>0</v>
      </c>
      <c r="Q114" s="21">
        <f t="shared" si="9"/>
        <v>0</v>
      </c>
      <c r="R114" s="21">
        <f t="shared" si="10"/>
        <v>0</v>
      </c>
    </row>
    <row r="115" spans="1:18">
      <c r="A115" s="16">
        <v>46097</v>
      </c>
      <c r="B115" s="22">
        <f t="shared" si="6"/>
        <v>2026</v>
      </c>
      <c r="C115" s="22" t="str">
        <f t="shared" si="7"/>
        <v>março</v>
      </c>
      <c r="D115" t="s">
        <v>86</v>
      </c>
      <c r="E115" t="str">
        <f>IFERROR(VLOOKUP(D115,[1]Cadastro!$B$4:$H$100,2,FALSE),"")</f>
        <v>Fisioterapia</v>
      </c>
      <c r="F115" t="str">
        <f>IFERROR(VLOOKUP(D115,[1]Cadastro!$B$4:$H$100,3,FALSE),"")</f>
        <v>R1</v>
      </c>
      <c r="G115" t="s">
        <v>201</v>
      </c>
      <c r="H115" t="s">
        <v>209</v>
      </c>
      <c r="I115" t="s">
        <v>36</v>
      </c>
      <c r="J115" t="s">
        <v>180</v>
      </c>
      <c r="K115" t="s">
        <v>183</v>
      </c>
      <c r="L115" t="s">
        <v>192</v>
      </c>
      <c r="M115" t="s">
        <v>186</v>
      </c>
      <c r="P115" s="8">
        <f t="shared" si="8"/>
        <v>8.966666666666665</v>
      </c>
      <c r="Q115" s="8">
        <f t="shared" si="9"/>
        <v>8.966666666666665</v>
      </c>
      <c r="R115" s="8">
        <f t="shared" si="10"/>
        <v>0</v>
      </c>
    </row>
    <row r="116" spans="1:18">
      <c r="A116" s="16">
        <v>46098</v>
      </c>
      <c r="B116" s="22">
        <f t="shared" si="6"/>
        <v>2026</v>
      </c>
      <c r="C116" s="22" t="str">
        <f t="shared" si="7"/>
        <v>março</v>
      </c>
      <c r="D116" t="s">
        <v>86</v>
      </c>
      <c r="E116" t="str">
        <f>IFERROR(VLOOKUP(D116,[1]Cadastro!$B$4:$H$100,2,FALSE),"")</f>
        <v>Fisioterapia</v>
      </c>
      <c r="F116" t="str">
        <f>IFERROR(VLOOKUP(D116,[1]Cadastro!$B$4:$H$100,3,FALSE),"")</f>
        <v>R1</v>
      </c>
      <c r="G116" t="s">
        <v>201</v>
      </c>
      <c r="H116" t="s">
        <v>209</v>
      </c>
      <c r="I116" t="s">
        <v>36</v>
      </c>
      <c r="J116" t="s">
        <v>182</v>
      </c>
      <c r="K116" t="s">
        <v>143</v>
      </c>
      <c r="L116" t="s">
        <v>193</v>
      </c>
      <c r="M116" t="s">
        <v>194</v>
      </c>
      <c r="N116" t="s">
        <v>157</v>
      </c>
      <c r="O116" t="s">
        <v>195</v>
      </c>
      <c r="P116" s="8">
        <f t="shared" si="8"/>
        <v>9.8666666666666636</v>
      </c>
      <c r="Q116" s="8">
        <f t="shared" si="9"/>
        <v>9.8666666666666636</v>
      </c>
      <c r="R116" s="8">
        <f t="shared" si="10"/>
        <v>0</v>
      </c>
    </row>
    <row r="117" spans="1:18">
      <c r="A117" s="16">
        <v>46099</v>
      </c>
      <c r="B117" s="22">
        <f t="shared" si="6"/>
        <v>2026</v>
      </c>
      <c r="C117" s="22" t="str">
        <f t="shared" si="7"/>
        <v>março</v>
      </c>
      <c r="D117" t="s">
        <v>86</v>
      </c>
      <c r="E117" t="str">
        <f>IFERROR(VLOOKUP(D117,[1]Cadastro!$B$4:$H$100,2,FALSE),"")</f>
        <v>Fisioterapia</v>
      </c>
      <c r="F117" t="str">
        <f>IFERROR(VLOOKUP(D117,[1]Cadastro!$B$4:$H$100,3,FALSE),"")</f>
        <v>R1</v>
      </c>
      <c r="G117" t="s">
        <v>201</v>
      </c>
      <c r="H117" t="s">
        <v>209</v>
      </c>
      <c r="I117" t="s">
        <v>36</v>
      </c>
      <c r="J117" t="s">
        <v>181</v>
      </c>
      <c r="K117" t="s">
        <v>187</v>
      </c>
      <c r="L117" t="s">
        <v>189</v>
      </c>
      <c r="M117" t="s">
        <v>190</v>
      </c>
      <c r="P117" s="8">
        <f t="shared" si="8"/>
        <v>8.9833333333333343</v>
      </c>
      <c r="Q117" s="8">
        <f t="shared" si="9"/>
        <v>8.9833333333333343</v>
      </c>
      <c r="R117" s="8">
        <f t="shared" si="10"/>
        <v>0</v>
      </c>
    </row>
    <row r="118" spans="1:18">
      <c r="A118" s="16">
        <v>46100</v>
      </c>
      <c r="B118" s="22">
        <f t="shared" si="6"/>
        <v>2026</v>
      </c>
      <c r="C118" s="22" t="str">
        <f t="shared" si="7"/>
        <v>março</v>
      </c>
      <c r="D118" t="s">
        <v>86</v>
      </c>
      <c r="E118" t="str">
        <f>IFERROR(VLOOKUP(D118,[1]Cadastro!$B$4:$H$100,2,FALSE),"")</f>
        <v>Fisioterapia</v>
      </c>
      <c r="F118" t="str">
        <f>IFERROR(VLOOKUP(D118,[1]Cadastro!$B$4:$H$100,3,FALSE),"")</f>
        <v>R1</v>
      </c>
      <c r="G118" t="s">
        <v>201</v>
      </c>
      <c r="H118" t="s">
        <v>209</v>
      </c>
      <c r="I118" t="s">
        <v>36</v>
      </c>
      <c r="J118" t="s">
        <v>177</v>
      </c>
      <c r="K118" t="s">
        <v>196</v>
      </c>
      <c r="P118" s="8">
        <f t="shared" si="8"/>
        <v>9.9833333333333343</v>
      </c>
      <c r="Q118" s="8">
        <f t="shared" si="9"/>
        <v>9.9833333333333343</v>
      </c>
      <c r="R118" s="8">
        <f t="shared" si="10"/>
        <v>0</v>
      </c>
    </row>
    <row r="119" spans="1:18">
      <c r="A119" s="16">
        <v>46101</v>
      </c>
      <c r="B119" s="22">
        <f t="shared" si="6"/>
        <v>2026</v>
      </c>
      <c r="C119" s="22" t="str">
        <f t="shared" si="7"/>
        <v>março</v>
      </c>
      <c r="D119" t="s">
        <v>86</v>
      </c>
      <c r="E119" t="str">
        <f>IFERROR(VLOOKUP(D119,[1]Cadastro!$B$4:$H$100,2,FALSE),"")</f>
        <v>Fisioterapia</v>
      </c>
      <c r="F119" t="str">
        <f>IFERROR(VLOOKUP(D119,[1]Cadastro!$B$4:$H$100,3,FALSE),"")</f>
        <v>R1</v>
      </c>
      <c r="G119" t="s">
        <v>201</v>
      </c>
      <c r="H119" t="s">
        <v>209</v>
      </c>
      <c r="I119" t="s">
        <v>36</v>
      </c>
      <c r="J119" t="s">
        <v>149</v>
      </c>
      <c r="K119" t="s">
        <v>191</v>
      </c>
      <c r="L119" t="s">
        <v>189</v>
      </c>
      <c r="M119" t="s">
        <v>190</v>
      </c>
      <c r="P119" s="8">
        <f t="shared" si="8"/>
        <v>8.9833333333333343</v>
      </c>
      <c r="Q119" s="8">
        <f t="shared" si="9"/>
        <v>8.9833333333333343</v>
      </c>
      <c r="R119" s="8">
        <f t="shared" si="10"/>
        <v>0</v>
      </c>
    </row>
    <row r="120" spans="1:18">
      <c r="A120" s="19">
        <v>46102</v>
      </c>
      <c r="B120" s="24">
        <f t="shared" si="6"/>
        <v>2026</v>
      </c>
      <c r="C120" s="24" t="str">
        <f t="shared" si="7"/>
        <v>março</v>
      </c>
      <c r="D120" s="20" t="s">
        <v>86</v>
      </c>
      <c r="E120" s="20" t="str">
        <f>IFERROR(VLOOKUP(D120,[1]Cadastro!$B$4:$H$100,2,FALSE),"")</f>
        <v>Fisioterapia</v>
      </c>
      <c r="F120" s="20" t="str">
        <f>IFERROR(VLOOKUP(D120,[1]Cadastro!$B$4:$H$100,3,FALSE),"")</f>
        <v>R1</v>
      </c>
      <c r="G120" s="20" t="s">
        <v>201</v>
      </c>
      <c r="H120" s="20" t="s">
        <v>209</v>
      </c>
      <c r="I120" s="20" t="s">
        <v>36</v>
      </c>
      <c r="J120" s="20"/>
      <c r="K120" s="20"/>
      <c r="L120" s="20"/>
      <c r="M120" s="20"/>
      <c r="N120" s="20"/>
      <c r="O120" s="20"/>
      <c r="P120" s="21">
        <f t="shared" si="8"/>
        <v>0</v>
      </c>
      <c r="Q120" s="21">
        <f t="shared" si="9"/>
        <v>0</v>
      </c>
      <c r="R120" s="21">
        <f t="shared" si="10"/>
        <v>0</v>
      </c>
    </row>
    <row r="121" spans="1:18">
      <c r="A121" s="19">
        <v>46103</v>
      </c>
      <c r="B121" s="24">
        <f t="shared" si="6"/>
        <v>2026</v>
      </c>
      <c r="C121" s="24" t="str">
        <f t="shared" si="7"/>
        <v>março</v>
      </c>
      <c r="D121" s="20" t="s">
        <v>86</v>
      </c>
      <c r="E121" s="20" t="str">
        <f>IFERROR(VLOOKUP(D121,[1]Cadastro!$B$4:$H$100,2,FALSE),"")</f>
        <v>Fisioterapia</v>
      </c>
      <c r="F121" s="20" t="str">
        <f>IFERROR(VLOOKUP(D121,[1]Cadastro!$B$4:$H$100,3,FALSE),"")</f>
        <v>R1</v>
      </c>
      <c r="G121" s="20" t="s">
        <v>201</v>
      </c>
      <c r="H121" s="20" t="s">
        <v>209</v>
      </c>
      <c r="I121" s="20" t="s">
        <v>36</v>
      </c>
      <c r="J121" s="20"/>
      <c r="K121" s="20"/>
      <c r="L121" s="20"/>
      <c r="M121" s="20"/>
      <c r="N121" s="20"/>
      <c r="O121" s="20"/>
      <c r="P121" s="21">
        <f t="shared" si="8"/>
        <v>0</v>
      </c>
      <c r="Q121" s="21">
        <f t="shared" si="9"/>
        <v>0</v>
      </c>
      <c r="R121" s="21">
        <f t="shared" si="10"/>
        <v>0</v>
      </c>
    </row>
    <row r="122" spans="1:18">
      <c r="A122" s="16">
        <v>46104</v>
      </c>
      <c r="B122" s="22">
        <f t="shared" si="6"/>
        <v>2026</v>
      </c>
      <c r="C122" s="22" t="str">
        <f t="shared" si="7"/>
        <v>março</v>
      </c>
      <c r="D122" t="s">
        <v>86</v>
      </c>
      <c r="E122" t="str">
        <f>IFERROR(VLOOKUP(D122,[1]Cadastro!$B$4:$H$100,2,FALSE),"")</f>
        <v>Fisioterapia</v>
      </c>
      <c r="F122" t="str">
        <f>IFERROR(VLOOKUP(D122,[1]Cadastro!$B$4:$H$100,3,FALSE),"")</f>
        <v>R1</v>
      </c>
      <c r="G122" t="s">
        <v>201</v>
      </c>
      <c r="H122" t="s">
        <v>209</v>
      </c>
      <c r="I122" t="s">
        <v>36</v>
      </c>
      <c r="J122" t="s">
        <v>154</v>
      </c>
      <c r="K122" t="s">
        <v>143</v>
      </c>
      <c r="L122" t="s">
        <v>188</v>
      </c>
      <c r="M122" t="s">
        <v>197</v>
      </c>
      <c r="P122" s="8">
        <f t="shared" si="8"/>
        <v>9.0499999999999972</v>
      </c>
      <c r="Q122" s="8">
        <f t="shared" si="9"/>
        <v>9.0499999999999972</v>
      </c>
      <c r="R122" s="8">
        <f t="shared" si="10"/>
        <v>0</v>
      </c>
    </row>
    <row r="123" spans="1:18">
      <c r="A123" s="16">
        <v>46105</v>
      </c>
      <c r="B123" s="22">
        <f t="shared" si="6"/>
        <v>2026</v>
      </c>
      <c r="C123" s="22" t="str">
        <f t="shared" si="7"/>
        <v>março</v>
      </c>
      <c r="D123" t="s">
        <v>86</v>
      </c>
      <c r="E123" t="str">
        <f>IFERROR(VLOOKUP(D123,[1]Cadastro!$B$4:$H$100,2,FALSE),"")</f>
        <v>Fisioterapia</v>
      </c>
      <c r="F123" t="str">
        <f>IFERROR(VLOOKUP(D123,[1]Cadastro!$B$4:$H$100,3,FALSE),"")</f>
        <v>R1</v>
      </c>
      <c r="G123" t="s">
        <v>201</v>
      </c>
      <c r="H123" t="s">
        <v>209</v>
      </c>
      <c r="I123" t="s">
        <v>36</v>
      </c>
      <c r="J123" t="s">
        <v>160</v>
      </c>
      <c r="K123" t="s">
        <v>183</v>
      </c>
      <c r="L123" t="s">
        <v>185</v>
      </c>
      <c r="M123" t="s">
        <v>186</v>
      </c>
      <c r="P123" s="8">
        <f t="shared" si="8"/>
        <v>8.9499999999999957</v>
      </c>
      <c r="Q123" s="8">
        <f t="shared" si="9"/>
        <v>8.9499999999999957</v>
      </c>
      <c r="R123" s="8">
        <f t="shared" si="10"/>
        <v>0</v>
      </c>
    </row>
    <row r="124" spans="1:18">
      <c r="A124" s="16">
        <v>46106</v>
      </c>
      <c r="B124" s="22">
        <f t="shared" si="6"/>
        <v>2026</v>
      </c>
      <c r="C124" s="22" t="str">
        <f t="shared" si="7"/>
        <v>março</v>
      </c>
      <c r="D124" t="s">
        <v>86</v>
      </c>
      <c r="E124" t="str">
        <f>IFERROR(VLOOKUP(D124,[1]Cadastro!$B$4:$H$100,2,FALSE),"")</f>
        <v>Fisioterapia</v>
      </c>
      <c r="F124" t="str">
        <f>IFERROR(VLOOKUP(D124,[1]Cadastro!$B$4:$H$100,3,FALSE),"")</f>
        <v>R1</v>
      </c>
      <c r="G124" t="s">
        <v>201</v>
      </c>
      <c r="H124" t="s">
        <v>209</v>
      </c>
      <c r="I124" t="s">
        <v>36</v>
      </c>
      <c r="J124" t="s">
        <v>177</v>
      </c>
      <c r="K124" t="s">
        <v>145</v>
      </c>
      <c r="L124" t="s">
        <v>185</v>
      </c>
      <c r="M124" t="s">
        <v>196</v>
      </c>
      <c r="P124" s="8">
        <f t="shared" si="8"/>
        <v>8.9833333333333307</v>
      </c>
      <c r="Q124" s="8">
        <f t="shared" si="9"/>
        <v>8.9833333333333307</v>
      </c>
      <c r="R124" s="8">
        <f t="shared" si="10"/>
        <v>0</v>
      </c>
    </row>
    <row r="125" spans="1:18">
      <c r="A125" s="16">
        <v>46107</v>
      </c>
      <c r="B125" s="22">
        <f t="shared" si="6"/>
        <v>2026</v>
      </c>
      <c r="C125" s="22" t="str">
        <f t="shared" si="7"/>
        <v>março</v>
      </c>
      <c r="D125" t="s">
        <v>86</v>
      </c>
      <c r="E125" t="str">
        <f>IFERROR(VLOOKUP(D125,[1]Cadastro!$B$4:$H$100,2,FALSE),"")</f>
        <v>Fisioterapia</v>
      </c>
      <c r="F125" t="str">
        <f>IFERROR(VLOOKUP(D125,[1]Cadastro!$B$4:$H$100,3,FALSE),"")</f>
        <v>R1</v>
      </c>
      <c r="G125" t="s">
        <v>201</v>
      </c>
      <c r="H125" t="s">
        <v>209</v>
      </c>
      <c r="I125" t="s">
        <v>36</v>
      </c>
      <c r="J125" t="s">
        <v>154</v>
      </c>
      <c r="K125" t="s">
        <v>191</v>
      </c>
      <c r="L125" t="s">
        <v>198</v>
      </c>
      <c r="M125" t="s">
        <v>199</v>
      </c>
      <c r="N125" s="27"/>
      <c r="O125" s="27"/>
      <c r="P125" s="8">
        <f t="shared" si="8"/>
        <v>9</v>
      </c>
      <c r="Q125" s="8">
        <f t="shared" si="9"/>
        <v>9</v>
      </c>
      <c r="R125" s="8">
        <f t="shared" si="10"/>
        <v>0</v>
      </c>
    </row>
    <row r="126" spans="1:18">
      <c r="A126" s="16">
        <v>46108</v>
      </c>
      <c r="B126" s="22">
        <f t="shared" si="6"/>
        <v>2026</v>
      </c>
      <c r="C126" s="22" t="str">
        <f t="shared" si="7"/>
        <v>março</v>
      </c>
      <c r="D126" t="s">
        <v>86</v>
      </c>
      <c r="E126" t="str">
        <f>IFERROR(VLOOKUP(D126,[1]Cadastro!$B$4:$H$100,2,FALSE),"")</f>
        <v>Fisioterapia</v>
      </c>
      <c r="F126" t="str">
        <f>IFERROR(VLOOKUP(D126,[1]Cadastro!$B$4:$H$100,3,FALSE),"")</f>
        <v>R1</v>
      </c>
      <c r="G126" t="s">
        <v>201</v>
      </c>
      <c r="H126" t="s">
        <v>209</v>
      </c>
      <c r="I126" t="s">
        <v>36</v>
      </c>
      <c r="J126" t="s">
        <v>146</v>
      </c>
      <c r="K126" t="s">
        <v>187</v>
      </c>
      <c r="L126" t="s">
        <v>200</v>
      </c>
      <c r="M126" t="s">
        <v>197</v>
      </c>
      <c r="N126" s="27"/>
      <c r="O126" s="27"/>
      <c r="P126" s="8">
        <f t="shared" si="8"/>
        <v>9</v>
      </c>
      <c r="Q126" s="8">
        <f t="shared" si="9"/>
        <v>9</v>
      </c>
      <c r="R126" s="8">
        <f t="shared" si="10"/>
        <v>0</v>
      </c>
    </row>
    <row r="127" spans="1:18">
      <c r="A127" s="19">
        <v>46109</v>
      </c>
      <c r="B127" s="24">
        <f t="shared" si="6"/>
        <v>2026</v>
      </c>
      <c r="C127" s="24" t="str">
        <f t="shared" si="7"/>
        <v>março</v>
      </c>
      <c r="D127" s="20" t="s">
        <v>86</v>
      </c>
      <c r="E127" s="20" t="str">
        <f>IFERROR(VLOOKUP(D127,[1]Cadastro!$B$4:$H$100,2,FALSE),"")</f>
        <v>Fisioterapia</v>
      </c>
      <c r="F127" s="20" t="str">
        <f>IFERROR(VLOOKUP(D127,[1]Cadastro!$B$4:$H$100,3,FALSE),"")</f>
        <v>R1</v>
      </c>
      <c r="G127" s="20" t="s">
        <v>201</v>
      </c>
      <c r="H127" s="20" t="s">
        <v>209</v>
      </c>
      <c r="I127" s="20" t="s">
        <v>36</v>
      </c>
      <c r="J127" s="28"/>
      <c r="K127" s="28"/>
      <c r="L127" s="28"/>
      <c r="M127" s="28"/>
      <c r="N127" s="28"/>
      <c r="O127" s="28"/>
      <c r="P127" s="21">
        <f t="shared" si="8"/>
        <v>0</v>
      </c>
      <c r="Q127" s="21">
        <f t="shared" si="9"/>
        <v>0</v>
      </c>
      <c r="R127" s="21">
        <f t="shared" si="10"/>
        <v>0</v>
      </c>
    </row>
    <row r="128" spans="1:18">
      <c r="A128" s="19">
        <v>46110</v>
      </c>
      <c r="B128" s="24">
        <f t="shared" si="6"/>
        <v>2026</v>
      </c>
      <c r="C128" s="24" t="str">
        <f t="shared" si="7"/>
        <v>março</v>
      </c>
      <c r="D128" s="20" t="s">
        <v>86</v>
      </c>
      <c r="E128" s="20" t="str">
        <f>IFERROR(VLOOKUP(D128,[1]Cadastro!$B$4:$H$100,2,FALSE),"")</f>
        <v>Fisioterapia</v>
      </c>
      <c r="F128" s="20" t="str">
        <f>IFERROR(VLOOKUP(D128,[1]Cadastro!$B$4:$H$100,3,FALSE),"")</f>
        <v>R1</v>
      </c>
      <c r="G128" s="20" t="s">
        <v>201</v>
      </c>
      <c r="H128" s="20" t="s">
        <v>209</v>
      </c>
      <c r="I128" s="20" t="s">
        <v>36</v>
      </c>
      <c r="J128" s="28"/>
      <c r="K128" s="28"/>
      <c r="L128" s="28"/>
      <c r="M128" s="28"/>
      <c r="N128" s="28"/>
      <c r="O128" s="28"/>
      <c r="P128" s="21">
        <f t="shared" si="8"/>
        <v>0</v>
      </c>
      <c r="Q128" s="21">
        <f t="shared" si="9"/>
        <v>0</v>
      </c>
      <c r="R128" s="21">
        <f t="shared" si="10"/>
        <v>0</v>
      </c>
    </row>
    <row r="129" spans="1:18">
      <c r="A129" s="16">
        <v>46111</v>
      </c>
      <c r="B129" s="22">
        <f t="shared" si="6"/>
        <v>2026</v>
      </c>
      <c r="C129" s="22" t="str">
        <f t="shared" si="7"/>
        <v>março</v>
      </c>
      <c r="D129" t="s">
        <v>86</v>
      </c>
      <c r="E129" t="str">
        <f>IFERROR(VLOOKUP(D129,[1]Cadastro!$B$4:$H$100,2,FALSE),"")</f>
        <v>Fisioterapia</v>
      </c>
      <c r="F129" t="str">
        <f>IFERROR(VLOOKUP(D129,[1]Cadastro!$B$4:$H$100,3,FALSE),"")</f>
        <v>R1</v>
      </c>
      <c r="G129" t="s">
        <v>201</v>
      </c>
      <c r="H129" t="s">
        <v>209</v>
      </c>
      <c r="I129" t="s">
        <v>36</v>
      </c>
      <c r="J129" t="s">
        <v>169</v>
      </c>
      <c r="K129" t="s">
        <v>183</v>
      </c>
      <c r="L129" t="s">
        <v>188</v>
      </c>
      <c r="M129" t="s">
        <v>197</v>
      </c>
      <c r="N129" s="27"/>
      <c r="O129" s="27"/>
      <c r="P129" s="8">
        <f t="shared" si="8"/>
        <v>8.9999999999999982</v>
      </c>
      <c r="Q129" s="8">
        <f t="shared" si="9"/>
        <v>8.9999999999999982</v>
      </c>
      <c r="R129" s="8">
        <f t="shared" si="10"/>
        <v>0</v>
      </c>
    </row>
    <row r="130" spans="1:18">
      <c r="A130" s="16">
        <v>46112</v>
      </c>
      <c r="B130" s="22">
        <f t="shared" si="6"/>
        <v>2026</v>
      </c>
      <c r="C130" s="22" t="str">
        <f t="shared" si="7"/>
        <v>março</v>
      </c>
      <c r="D130" t="s">
        <v>86</v>
      </c>
      <c r="E130" t="str">
        <f>IFERROR(VLOOKUP(D130,[1]Cadastro!$B$4:$H$100,2,FALSE),"")</f>
        <v>Fisioterapia</v>
      </c>
      <c r="F130" t="str">
        <f>IFERROR(VLOOKUP(D130,[1]Cadastro!$B$4:$H$100,3,FALSE),"")</f>
        <v>R1</v>
      </c>
      <c r="G130" t="s">
        <v>201</v>
      </c>
      <c r="H130" t="s">
        <v>209</v>
      </c>
      <c r="I130" t="s">
        <v>36</v>
      </c>
      <c r="J130" t="s">
        <v>146</v>
      </c>
      <c r="K130" t="s">
        <v>187</v>
      </c>
      <c r="L130" s="29">
        <v>0.54236111111111118</v>
      </c>
      <c r="M130" s="29">
        <v>0.70833333333333337</v>
      </c>
      <c r="N130" s="27"/>
      <c r="O130" s="27"/>
      <c r="P130" s="8">
        <f t="shared" si="8"/>
        <v>8.9833333333333325</v>
      </c>
      <c r="Q130" s="8">
        <f t="shared" si="9"/>
        <v>8.9833333333333325</v>
      </c>
      <c r="R130" s="8">
        <f t="shared" si="10"/>
        <v>0</v>
      </c>
    </row>
    <row r="131" spans="1:18">
      <c r="A131" s="6"/>
      <c r="B131" t="str">
        <f t="shared" si="6"/>
        <v/>
      </c>
      <c r="C131" t="str">
        <f t="shared" si="7"/>
        <v/>
      </c>
      <c r="E131" t="str">
        <f>IFERROR(VLOOKUP(D131,Cadastro!$B$4:$H$100,2,FALSE),"")</f>
        <v/>
      </c>
      <c r="F131" t="str">
        <f>IFERROR(VLOOKUP(D131,Cadastro!$B$4:$H$100,3,FALSE),"")</f>
        <v/>
      </c>
      <c r="J131" s="7"/>
      <c r="K131" s="7"/>
      <c r="L131" s="7"/>
      <c r="M131" s="7"/>
      <c r="N131" s="7"/>
      <c r="O131" s="7"/>
      <c r="P131" s="8">
        <f t="shared" si="8"/>
        <v>0</v>
      </c>
      <c r="Q131" s="8">
        <f t="shared" si="9"/>
        <v>0</v>
      </c>
      <c r="R131" s="8">
        <f t="shared" si="10"/>
        <v>0</v>
      </c>
    </row>
    <row r="132" spans="1:18">
      <c r="A132" s="6"/>
      <c r="B132" t="str">
        <f t="shared" ref="B132:B195" si="11">IF(A132="","",YEAR(A132))</f>
        <v/>
      </c>
      <c r="C132" t="str">
        <f t="shared" ref="C132:C195" si="12">IF(A132="","",TEXT(A132,"mmmm"))</f>
        <v/>
      </c>
      <c r="E132" t="str">
        <f>IFERROR(VLOOKUP(D132,Cadastro!$B$4:$H$100,2,FALSE),"")</f>
        <v/>
      </c>
      <c r="F132" t="str">
        <f>IFERROR(VLOOKUP(D132,Cadastro!$B$4:$H$100,3,FALSE),"")</f>
        <v/>
      </c>
      <c r="J132" s="7"/>
      <c r="K132" s="7"/>
      <c r="L132" s="7"/>
      <c r="M132" s="7"/>
      <c r="N132" s="7"/>
      <c r="O132" s="7"/>
      <c r="P132" s="8">
        <f t="shared" ref="P132:P195" si="13">IF(OR(J132="",K132=""),0,(K132-J132)*24)+IF(OR(L132="",M132=""),0,(M132-L132)*24)+IF(OR(N132="",O132=""),0,(O132-N132)*24)</f>
        <v>0</v>
      </c>
      <c r="Q132" s="8">
        <f t="shared" ref="Q132:Q195" si="14">IF(OR(I132="Prática",I132="Teórico-prática"),P132,0)</f>
        <v>0</v>
      </c>
      <c r="R132" s="8">
        <f t="shared" ref="R132:R195" si="15">IF(OR(I132="Teórica",I132="Teórico-prática"),P132,0)</f>
        <v>0</v>
      </c>
    </row>
    <row r="133" spans="1:18">
      <c r="A133" s="6"/>
      <c r="B133" t="str">
        <f t="shared" si="11"/>
        <v/>
      </c>
      <c r="C133" t="str">
        <f t="shared" si="12"/>
        <v/>
      </c>
      <c r="E133" t="str">
        <f>IFERROR(VLOOKUP(D133,Cadastro!$B$4:$H$100,2,FALSE),"")</f>
        <v/>
      </c>
      <c r="F133" t="str">
        <f>IFERROR(VLOOKUP(D133,Cadastro!$B$4:$H$100,3,FALSE),"")</f>
        <v/>
      </c>
      <c r="J133" s="7"/>
      <c r="K133" s="7"/>
      <c r="L133" s="7"/>
      <c r="M133" s="7"/>
      <c r="N133" s="7"/>
      <c r="O133" s="7"/>
      <c r="P133" s="8">
        <f t="shared" si="13"/>
        <v>0</v>
      </c>
      <c r="Q133" s="8">
        <f t="shared" si="14"/>
        <v>0</v>
      </c>
      <c r="R133" s="8">
        <f t="shared" si="15"/>
        <v>0</v>
      </c>
    </row>
    <row r="134" spans="1:18">
      <c r="A134" s="6"/>
      <c r="B134" t="str">
        <f t="shared" si="11"/>
        <v/>
      </c>
      <c r="C134" t="str">
        <f t="shared" si="12"/>
        <v/>
      </c>
      <c r="E134" t="str">
        <f>IFERROR(VLOOKUP(D134,Cadastro!$B$4:$H$100,2,FALSE),"")</f>
        <v/>
      </c>
      <c r="F134" t="str">
        <f>IFERROR(VLOOKUP(D134,Cadastro!$B$4:$H$100,3,FALSE),"")</f>
        <v/>
      </c>
      <c r="J134" s="7"/>
      <c r="K134" s="7"/>
      <c r="L134" s="7"/>
      <c r="M134" s="7"/>
      <c r="N134" s="7"/>
      <c r="O134" s="7"/>
      <c r="P134" s="8">
        <f t="shared" si="13"/>
        <v>0</v>
      </c>
      <c r="Q134" s="8">
        <f t="shared" si="14"/>
        <v>0</v>
      </c>
      <c r="R134" s="8">
        <f t="shared" si="15"/>
        <v>0</v>
      </c>
    </row>
    <row r="135" spans="1:18">
      <c r="A135" s="6"/>
      <c r="B135" t="str">
        <f t="shared" si="11"/>
        <v/>
      </c>
      <c r="C135" t="str">
        <f t="shared" si="12"/>
        <v/>
      </c>
      <c r="E135" t="str">
        <f>IFERROR(VLOOKUP(D135,Cadastro!$B$4:$H$100,2,FALSE),"")</f>
        <v/>
      </c>
      <c r="F135" t="str">
        <f>IFERROR(VLOOKUP(D135,Cadastro!$B$4:$H$100,3,FALSE),"")</f>
        <v/>
      </c>
      <c r="J135" s="7"/>
      <c r="K135" s="7"/>
      <c r="L135" s="7"/>
      <c r="M135" s="7"/>
      <c r="N135" s="7"/>
      <c r="O135" s="7"/>
      <c r="P135" s="8">
        <f t="shared" si="13"/>
        <v>0</v>
      </c>
      <c r="Q135" s="8">
        <f t="shared" si="14"/>
        <v>0</v>
      </c>
      <c r="R135" s="8">
        <f t="shared" si="15"/>
        <v>0</v>
      </c>
    </row>
    <row r="136" spans="1:18">
      <c r="A136" s="6"/>
      <c r="B136" t="str">
        <f t="shared" si="11"/>
        <v/>
      </c>
      <c r="C136" t="str">
        <f t="shared" si="12"/>
        <v/>
      </c>
      <c r="E136" t="str">
        <f>IFERROR(VLOOKUP(D136,Cadastro!$B$4:$H$100,2,FALSE),"")</f>
        <v/>
      </c>
      <c r="F136" t="str">
        <f>IFERROR(VLOOKUP(D136,Cadastro!$B$4:$H$100,3,FALSE),"")</f>
        <v/>
      </c>
      <c r="J136" s="7"/>
      <c r="K136" s="7"/>
      <c r="L136" s="7"/>
      <c r="M136" s="7"/>
      <c r="N136" s="7"/>
      <c r="O136" s="7"/>
      <c r="P136" s="8">
        <f t="shared" si="13"/>
        <v>0</v>
      </c>
      <c r="Q136" s="8">
        <f t="shared" si="14"/>
        <v>0</v>
      </c>
      <c r="R136" s="8">
        <f t="shared" si="15"/>
        <v>0</v>
      </c>
    </row>
    <row r="137" spans="1:18">
      <c r="A137" s="6"/>
      <c r="B137" t="str">
        <f t="shared" si="11"/>
        <v/>
      </c>
      <c r="C137" t="str">
        <f t="shared" si="12"/>
        <v/>
      </c>
      <c r="E137" t="str">
        <f>IFERROR(VLOOKUP(D137,Cadastro!$B$4:$H$100,2,FALSE),"")</f>
        <v/>
      </c>
      <c r="F137" t="str">
        <f>IFERROR(VLOOKUP(D137,Cadastro!$B$4:$H$100,3,FALSE),"")</f>
        <v/>
      </c>
      <c r="J137" s="7"/>
      <c r="K137" s="7"/>
      <c r="L137" s="7"/>
      <c r="M137" s="7"/>
      <c r="N137" s="7"/>
      <c r="O137" s="7"/>
      <c r="P137" s="8">
        <f t="shared" si="13"/>
        <v>0</v>
      </c>
      <c r="Q137" s="8">
        <f t="shared" si="14"/>
        <v>0</v>
      </c>
      <c r="R137" s="8">
        <f t="shared" si="15"/>
        <v>0</v>
      </c>
    </row>
    <row r="138" spans="1:18">
      <c r="A138" s="6"/>
      <c r="B138" t="str">
        <f t="shared" si="11"/>
        <v/>
      </c>
      <c r="C138" t="str">
        <f t="shared" si="12"/>
        <v/>
      </c>
      <c r="E138" t="str">
        <f>IFERROR(VLOOKUP(D138,Cadastro!$B$4:$H$100,2,FALSE),"")</f>
        <v/>
      </c>
      <c r="F138" t="str">
        <f>IFERROR(VLOOKUP(D138,Cadastro!$B$4:$H$100,3,FALSE),"")</f>
        <v/>
      </c>
      <c r="J138" s="7"/>
      <c r="K138" s="7"/>
      <c r="L138" s="7"/>
      <c r="M138" s="7"/>
      <c r="N138" s="7"/>
      <c r="O138" s="7"/>
      <c r="P138" s="8">
        <f t="shared" si="13"/>
        <v>0</v>
      </c>
      <c r="Q138" s="8">
        <f t="shared" si="14"/>
        <v>0</v>
      </c>
      <c r="R138" s="8">
        <f t="shared" si="15"/>
        <v>0</v>
      </c>
    </row>
    <row r="139" spans="1:18">
      <c r="A139" s="6"/>
      <c r="B139" t="str">
        <f t="shared" si="11"/>
        <v/>
      </c>
      <c r="C139" t="str">
        <f t="shared" si="12"/>
        <v/>
      </c>
      <c r="E139" t="str">
        <f>IFERROR(VLOOKUP(D139,Cadastro!$B$4:$H$100,2,FALSE),"")</f>
        <v/>
      </c>
      <c r="F139" t="str">
        <f>IFERROR(VLOOKUP(D139,Cadastro!$B$4:$H$100,3,FALSE),"")</f>
        <v/>
      </c>
      <c r="J139" s="7"/>
      <c r="K139" s="7"/>
      <c r="L139" s="7"/>
      <c r="M139" s="7"/>
      <c r="N139" s="7"/>
      <c r="O139" s="7"/>
      <c r="P139" s="8">
        <f t="shared" si="13"/>
        <v>0</v>
      </c>
      <c r="Q139" s="8">
        <f t="shared" si="14"/>
        <v>0</v>
      </c>
      <c r="R139" s="8">
        <f t="shared" si="15"/>
        <v>0</v>
      </c>
    </row>
    <row r="140" spans="1:18">
      <c r="A140" s="6"/>
      <c r="B140" t="str">
        <f t="shared" si="11"/>
        <v/>
      </c>
      <c r="C140" t="str">
        <f t="shared" si="12"/>
        <v/>
      </c>
      <c r="E140" t="str">
        <f>IFERROR(VLOOKUP(D140,Cadastro!$B$4:$H$100,2,FALSE),"")</f>
        <v/>
      </c>
      <c r="F140" t="str">
        <f>IFERROR(VLOOKUP(D140,Cadastro!$B$4:$H$100,3,FALSE),"")</f>
        <v/>
      </c>
      <c r="J140" s="7"/>
      <c r="K140" s="7"/>
      <c r="L140" s="7"/>
      <c r="M140" s="7"/>
      <c r="N140" s="7"/>
      <c r="O140" s="7"/>
      <c r="P140" s="8">
        <f t="shared" si="13"/>
        <v>0</v>
      </c>
      <c r="Q140" s="8">
        <f t="shared" si="14"/>
        <v>0</v>
      </c>
      <c r="R140" s="8">
        <f t="shared" si="15"/>
        <v>0</v>
      </c>
    </row>
    <row r="141" spans="1:18">
      <c r="A141" s="6"/>
      <c r="B141" t="str">
        <f t="shared" si="11"/>
        <v/>
      </c>
      <c r="C141" t="str">
        <f t="shared" si="12"/>
        <v/>
      </c>
      <c r="E141" t="str">
        <f>IFERROR(VLOOKUP(D141,Cadastro!$B$4:$H$100,2,FALSE),"")</f>
        <v/>
      </c>
      <c r="F141" t="str">
        <f>IFERROR(VLOOKUP(D141,Cadastro!$B$4:$H$100,3,FALSE),"")</f>
        <v/>
      </c>
      <c r="J141" s="7"/>
      <c r="K141" s="7"/>
      <c r="L141" s="7"/>
      <c r="M141" s="7"/>
      <c r="N141" s="7"/>
      <c r="O141" s="7"/>
      <c r="P141" s="8">
        <f t="shared" si="13"/>
        <v>0</v>
      </c>
      <c r="Q141" s="8">
        <f t="shared" si="14"/>
        <v>0</v>
      </c>
      <c r="R141" s="8">
        <f t="shared" si="15"/>
        <v>0</v>
      </c>
    </row>
    <row r="142" spans="1:18">
      <c r="A142" s="6"/>
      <c r="B142" t="str">
        <f t="shared" si="11"/>
        <v/>
      </c>
      <c r="C142" t="str">
        <f t="shared" si="12"/>
        <v/>
      </c>
      <c r="E142" t="str">
        <f>IFERROR(VLOOKUP(D142,Cadastro!$B$4:$H$100,2,FALSE),"")</f>
        <v/>
      </c>
      <c r="F142" t="str">
        <f>IFERROR(VLOOKUP(D142,Cadastro!$B$4:$H$100,3,FALSE),"")</f>
        <v/>
      </c>
      <c r="J142" s="7"/>
      <c r="K142" s="7"/>
      <c r="L142" s="7"/>
      <c r="M142" s="7"/>
      <c r="N142" s="7"/>
      <c r="O142" s="7"/>
      <c r="P142" s="8">
        <f t="shared" si="13"/>
        <v>0</v>
      </c>
      <c r="Q142" s="8">
        <f t="shared" si="14"/>
        <v>0</v>
      </c>
      <c r="R142" s="8">
        <f t="shared" si="15"/>
        <v>0</v>
      </c>
    </row>
    <row r="143" spans="1:18">
      <c r="A143" s="6"/>
      <c r="B143" t="str">
        <f t="shared" si="11"/>
        <v/>
      </c>
      <c r="C143" t="str">
        <f t="shared" si="12"/>
        <v/>
      </c>
      <c r="E143" t="str">
        <f>IFERROR(VLOOKUP(D143,Cadastro!$B$4:$H$100,2,FALSE),"")</f>
        <v/>
      </c>
      <c r="F143" t="str">
        <f>IFERROR(VLOOKUP(D143,Cadastro!$B$4:$H$100,3,FALSE),"")</f>
        <v/>
      </c>
      <c r="J143" s="7"/>
      <c r="K143" s="7"/>
      <c r="L143" s="7"/>
      <c r="M143" s="7"/>
      <c r="N143" s="7"/>
      <c r="O143" s="7"/>
      <c r="P143" s="8">
        <f t="shared" si="13"/>
        <v>0</v>
      </c>
      <c r="Q143" s="8">
        <f t="shared" si="14"/>
        <v>0</v>
      </c>
      <c r="R143" s="8">
        <f t="shared" si="15"/>
        <v>0</v>
      </c>
    </row>
    <row r="144" spans="1:18">
      <c r="A144" s="6"/>
      <c r="B144" t="str">
        <f t="shared" si="11"/>
        <v/>
      </c>
      <c r="C144" t="str">
        <f t="shared" si="12"/>
        <v/>
      </c>
      <c r="E144" t="str">
        <f>IFERROR(VLOOKUP(D144,Cadastro!$B$4:$H$100,2,FALSE),"")</f>
        <v/>
      </c>
      <c r="F144" t="str">
        <f>IFERROR(VLOOKUP(D144,Cadastro!$B$4:$H$100,3,FALSE),"")</f>
        <v/>
      </c>
      <c r="J144" s="7"/>
      <c r="K144" s="7"/>
      <c r="L144" s="7"/>
      <c r="M144" s="7"/>
      <c r="N144" s="7"/>
      <c r="O144" s="7"/>
      <c r="P144" s="8">
        <f t="shared" si="13"/>
        <v>0</v>
      </c>
      <c r="Q144" s="8">
        <f t="shared" si="14"/>
        <v>0</v>
      </c>
      <c r="R144" s="8">
        <f t="shared" si="15"/>
        <v>0</v>
      </c>
    </row>
    <row r="145" spans="1:18">
      <c r="A145" s="6"/>
      <c r="B145" t="str">
        <f t="shared" si="11"/>
        <v/>
      </c>
      <c r="C145" t="str">
        <f t="shared" si="12"/>
        <v/>
      </c>
      <c r="E145" t="str">
        <f>IFERROR(VLOOKUP(D145,Cadastro!$B$4:$H$100,2,FALSE),"")</f>
        <v/>
      </c>
      <c r="F145" t="str">
        <f>IFERROR(VLOOKUP(D145,Cadastro!$B$4:$H$100,3,FALSE),"")</f>
        <v/>
      </c>
      <c r="J145" s="7"/>
      <c r="K145" s="7"/>
      <c r="L145" s="7"/>
      <c r="M145" s="7"/>
      <c r="N145" s="7"/>
      <c r="O145" s="7"/>
      <c r="P145" s="8">
        <f t="shared" si="13"/>
        <v>0</v>
      </c>
      <c r="Q145" s="8">
        <f t="shared" si="14"/>
        <v>0</v>
      </c>
      <c r="R145" s="8">
        <f t="shared" si="15"/>
        <v>0</v>
      </c>
    </row>
    <row r="146" spans="1:18">
      <c r="A146" s="6"/>
      <c r="B146" t="str">
        <f t="shared" si="11"/>
        <v/>
      </c>
      <c r="C146" t="str">
        <f t="shared" si="12"/>
        <v/>
      </c>
      <c r="E146" t="str">
        <f>IFERROR(VLOOKUP(D146,Cadastro!$B$4:$H$100,2,FALSE),"")</f>
        <v/>
      </c>
      <c r="F146" t="str">
        <f>IFERROR(VLOOKUP(D146,Cadastro!$B$4:$H$100,3,FALSE),"")</f>
        <v/>
      </c>
      <c r="J146" s="7"/>
      <c r="K146" s="7"/>
      <c r="L146" s="7"/>
      <c r="M146" s="7"/>
      <c r="N146" s="7"/>
      <c r="O146" s="7"/>
      <c r="P146" s="8">
        <f t="shared" si="13"/>
        <v>0</v>
      </c>
      <c r="Q146" s="8">
        <f t="shared" si="14"/>
        <v>0</v>
      </c>
      <c r="R146" s="8">
        <f t="shared" si="15"/>
        <v>0</v>
      </c>
    </row>
    <row r="147" spans="1:18">
      <c r="A147" s="6"/>
      <c r="B147" t="str">
        <f t="shared" si="11"/>
        <v/>
      </c>
      <c r="C147" t="str">
        <f t="shared" si="12"/>
        <v/>
      </c>
      <c r="E147" t="str">
        <f>IFERROR(VLOOKUP(D147,Cadastro!$B$4:$H$100,2,FALSE),"")</f>
        <v/>
      </c>
      <c r="F147" t="str">
        <f>IFERROR(VLOOKUP(D147,Cadastro!$B$4:$H$100,3,FALSE),"")</f>
        <v/>
      </c>
      <c r="J147" s="7"/>
      <c r="K147" s="7"/>
      <c r="L147" s="7"/>
      <c r="M147" s="7"/>
      <c r="N147" s="7"/>
      <c r="O147" s="7"/>
      <c r="P147" s="8">
        <f t="shared" si="13"/>
        <v>0</v>
      </c>
      <c r="Q147" s="8">
        <f t="shared" si="14"/>
        <v>0</v>
      </c>
      <c r="R147" s="8">
        <f t="shared" si="15"/>
        <v>0</v>
      </c>
    </row>
    <row r="148" spans="1:18">
      <c r="A148" s="6"/>
      <c r="B148" t="str">
        <f t="shared" si="11"/>
        <v/>
      </c>
      <c r="C148" t="str">
        <f t="shared" si="12"/>
        <v/>
      </c>
      <c r="E148" t="str">
        <f>IFERROR(VLOOKUP(D148,Cadastro!$B$4:$H$100,2,FALSE),"")</f>
        <v/>
      </c>
      <c r="F148" t="str">
        <f>IFERROR(VLOOKUP(D148,Cadastro!$B$4:$H$100,3,FALSE),"")</f>
        <v/>
      </c>
      <c r="J148" s="7"/>
      <c r="K148" s="7"/>
      <c r="L148" s="7"/>
      <c r="M148" s="7"/>
      <c r="N148" s="7"/>
      <c r="O148" s="7"/>
      <c r="P148" s="8">
        <f t="shared" si="13"/>
        <v>0</v>
      </c>
      <c r="Q148" s="8">
        <f t="shared" si="14"/>
        <v>0</v>
      </c>
      <c r="R148" s="8">
        <f t="shared" si="15"/>
        <v>0</v>
      </c>
    </row>
    <row r="149" spans="1:18">
      <c r="A149" s="6"/>
      <c r="B149" t="str">
        <f t="shared" si="11"/>
        <v/>
      </c>
      <c r="C149" t="str">
        <f t="shared" si="12"/>
        <v/>
      </c>
      <c r="E149" t="str">
        <f>IFERROR(VLOOKUP(D149,Cadastro!$B$4:$H$100,2,FALSE),"")</f>
        <v/>
      </c>
      <c r="F149" t="str">
        <f>IFERROR(VLOOKUP(D149,Cadastro!$B$4:$H$100,3,FALSE),"")</f>
        <v/>
      </c>
      <c r="J149" s="7"/>
      <c r="K149" s="7"/>
      <c r="L149" s="7"/>
      <c r="M149" s="7"/>
      <c r="N149" s="7"/>
      <c r="O149" s="7"/>
      <c r="P149" s="8">
        <f t="shared" si="13"/>
        <v>0</v>
      </c>
      <c r="Q149" s="8">
        <f t="shared" si="14"/>
        <v>0</v>
      </c>
      <c r="R149" s="8">
        <f t="shared" si="15"/>
        <v>0</v>
      </c>
    </row>
    <row r="150" spans="1:18">
      <c r="A150" s="6"/>
      <c r="B150" t="str">
        <f t="shared" si="11"/>
        <v/>
      </c>
      <c r="C150" t="str">
        <f t="shared" si="12"/>
        <v/>
      </c>
      <c r="E150" t="str">
        <f>IFERROR(VLOOKUP(D150,Cadastro!$B$4:$H$100,2,FALSE),"")</f>
        <v/>
      </c>
      <c r="F150" t="str">
        <f>IFERROR(VLOOKUP(D150,Cadastro!$B$4:$H$100,3,FALSE),"")</f>
        <v/>
      </c>
      <c r="J150" s="7"/>
      <c r="K150" s="7"/>
      <c r="L150" s="7"/>
      <c r="M150" s="7"/>
      <c r="N150" s="7"/>
      <c r="O150" s="7"/>
      <c r="P150" s="8">
        <f t="shared" si="13"/>
        <v>0</v>
      </c>
      <c r="Q150" s="8">
        <f t="shared" si="14"/>
        <v>0</v>
      </c>
      <c r="R150" s="8">
        <f t="shared" si="15"/>
        <v>0</v>
      </c>
    </row>
    <row r="151" spans="1:18">
      <c r="A151" s="6"/>
      <c r="B151" t="str">
        <f t="shared" si="11"/>
        <v/>
      </c>
      <c r="C151" t="str">
        <f t="shared" si="12"/>
        <v/>
      </c>
      <c r="E151" t="str">
        <f>IFERROR(VLOOKUP(D151,Cadastro!$B$4:$H$100,2,FALSE),"")</f>
        <v/>
      </c>
      <c r="F151" t="str">
        <f>IFERROR(VLOOKUP(D151,Cadastro!$B$4:$H$100,3,FALSE),"")</f>
        <v/>
      </c>
      <c r="J151" s="7"/>
      <c r="K151" s="7"/>
      <c r="L151" s="7"/>
      <c r="M151" s="7"/>
      <c r="N151" s="7"/>
      <c r="O151" s="7"/>
      <c r="P151" s="8">
        <f t="shared" si="13"/>
        <v>0</v>
      </c>
      <c r="Q151" s="8">
        <f t="shared" si="14"/>
        <v>0</v>
      </c>
      <c r="R151" s="8">
        <f t="shared" si="15"/>
        <v>0</v>
      </c>
    </row>
    <row r="152" spans="1:18">
      <c r="A152" s="6"/>
      <c r="B152" t="str">
        <f t="shared" si="11"/>
        <v/>
      </c>
      <c r="C152" t="str">
        <f t="shared" si="12"/>
        <v/>
      </c>
      <c r="E152" t="str">
        <f>IFERROR(VLOOKUP(D152,Cadastro!$B$4:$H$100,2,FALSE),"")</f>
        <v/>
      </c>
      <c r="F152" t="str">
        <f>IFERROR(VLOOKUP(D152,Cadastro!$B$4:$H$100,3,FALSE),"")</f>
        <v/>
      </c>
      <c r="J152" s="7"/>
      <c r="K152" s="7"/>
      <c r="L152" s="7"/>
      <c r="M152" s="7"/>
      <c r="N152" s="7"/>
      <c r="O152" s="7"/>
      <c r="P152" s="8">
        <f t="shared" si="13"/>
        <v>0</v>
      </c>
      <c r="Q152" s="8">
        <f t="shared" si="14"/>
        <v>0</v>
      </c>
      <c r="R152" s="8">
        <f t="shared" si="15"/>
        <v>0</v>
      </c>
    </row>
    <row r="153" spans="1:18">
      <c r="A153" s="6"/>
      <c r="B153" t="str">
        <f t="shared" si="11"/>
        <v/>
      </c>
      <c r="C153" t="str">
        <f t="shared" si="12"/>
        <v/>
      </c>
      <c r="E153" t="str">
        <f>IFERROR(VLOOKUP(D153,Cadastro!$B$4:$H$100,2,FALSE),"")</f>
        <v/>
      </c>
      <c r="F153" t="str">
        <f>IFERROR(VLOOKUP(D153,Cadastro!$B$4:$H$100,3,FALSE),"")</f>
        <v/>
      </c>
      <c r="J153" s="7"/>
      <c r="K153" s="7"/>
      <c r="L153" s="7"/>
      <c r="M153" s="7"/>
      <c r="N153" s="7"/>
      <c r="O153" s="7"/>
      <c r="P153" s="8">
        <f t="shared" si="13"/>
        <v>0</v>
      </c>
      <c r="Q153" s="8">
        <f t="shared" si="14"/>
        <v>0</v>
      </c>
      <c r="R153" s="8">
        <f t="shared" si="15"/>
        <v>0</v>
      </c>
    </row>
    <row r="154" spans="1:18">
      <c r="A154" s="6"/>
      <c r="B154" t="str">
        <f t="shared" si="11"/>
        <v/>
      </c>
      <c r="C154" t="str">
        <f t="shared" si="12"/>
        <v/>
      </c>
      <c r="E154" t="str">
        <f>IFERROR(VLOOKUP(D154,Cadastro!$B$4:$H$100,2,FALSE),"")</f>
        <v/>
      </c>
      <c r="F154" t="str">
        <f>IFERROR(VLOOKUP(D154,Cadastro!$B$4:$H$100,3,FALSE),"")</f>
        <v/>
      </c>
      <c r="J154" s="7"/>
      <c r="K154" s="7"/>
      <c r="L154" s="7"/>
      <c r="M154" s="7"/>
      <c r="N154" s="7"/>
      <c r="O154" s="7"/>
      <c r="P154" s="8">
        <f t="shared" si="13"/>
        <v>0</v>
      </c>
      <c r="Q154" s="8">
        <f t="shared" si="14"/>
        <v>0</v>
      </c>
      <c r="R154" s="8">
        <f t="shared" si="15"/>
        <v>0</v>
      </c>
    </row>
    <row r="155" spans="1:18">
      <c r="A155" s="6"/>
      <c r="B155" t="str">
        <f t="shared" si="11"/>
        <v/>
      </c>
      <c r="C155" t="str">
        <f t="shared" si="12"/>
        <v/>
      </c>
      <c r="E155" t="str">
        <f>IFERROR(VLOOKUP(D155,Cadastro!$B$4:$H$100,2,FALSE),"")</f>
        <v/>
      </c>
      <c r="F155" t="str">
        <f>IFERROR(VLOOKUP(D155,Cadastro!$B$4:$H$100,3,FALSE),"")</f>
        <v/>
      </c>
      <c r="J155" s="7"/>
      <c r="K155" s="7"/>
      <c r="L155" s="7"/>
      <c r="M155" s="7"/>
      <c r="N155" s="7"/>
      <c r="O155" s="7"/>
      <c r="P155" s="8">
        <f t="shared" si="13"/>
        <v>0</v>
      </c>
      <c r="Q155" s="8">
        <f t="shared" si="14"/>
        <v>0</v>
      </c>
      <c r="R155" s="8">
        <f t="shared" si="15"/>
        <v>0</v>
      </c>
    </row>
    <row r="156" spans="1:18">
      <c r="A156" s="6"/>
      <c r="B156" t="str">
        <f t="shared" si="11"/>
        <v/>
      </c>
      <c r="C156" t="str">
        <f t="shared" si="12"/>
        <v/>
      </c>
      <c r="E156" t="str">
        <f>IFERROR(VLOOKUP(D156,Cadastro!$B$4:$H$100,2,FALSE),"")</f>
        <v/>
      </c>
      <c r="F156" t="str">
        <f>IFERROR(VLOOKUP(D156,Cadastro!$B$4:$H$100,3,FALSE),"")</f>
        <v/>
      </c>
      <c r="J156" s="7"/>
      <c r="K156" s="7"/>
      <c r="L156" s="7"/>
      <c r="M156" s="7"/>
      <c r="N156" s="7"/>
      <c r="O156" s="7"/>
      <c r="P156" s="8">
        <f t="shared" si="13"/>
        <v>0</v>
      </c>
      <c r="Q156" s="8">
        <f t="shared" si="14"/>
        <v>0</v>
      </c>
      <c r="R156" s="8">
        <f t="shared" si="15"/>
        <v>0</v>
      </c>
    </row>
    <row r="157" spans="1:18">
      <c r="A157" s="6"/>
      <c r="B157" t="str">
        <f t="shared" si="11"/>
        <v/>
      </c>
      <c r="C157" t="str">
        <f t="shared" si="12"/>
        <v/>
      </c>
      <c r="E157" t="str">
        <f>IFERROR(VLOOKUP(D157,Cadastro!$B$4:$H$100,2,FALSE),"")</f>
        <v/>
      </c>
      <c r="F157" t="str">
        <f>IFERROR(VLOOKUP(D157,Cadastro!$B$4:$H$100,3,FALSE),"")</f>
        <v/>
      </c>
      <c r="J157" s="7"/>
      <c r="K157" s="7"/>
      <c r="L157" s="7"/>
      <c r="M157" s="7"/>
      <c r="N157" s="7"/>
      <c r="O157" s="7"/>
      <c r="P157" s="8">
        <f t="shared" si="13"/>
        <v>0</v>
      </c>
      <c r="Q157" s="8">
        <f t="shared" si="14"/>
        <v>0</v>
      </c>
      <c r="R157" s="8">
        <f t="shared" si="15"/>
        <v>0</v>
      </c>
    </row>
    <row r="158" spans="1:18">
      <c r="A158" s="6"/>
      <c r="B158" t="str">
        <f t="shared" si="11"/>
        <v/>
      </c>
      <c r="C158" t="str">
        <f t="shared" si="12"/>
        <v/>
      </c>
      <c r="E158" t="str">
        <f>IFERROR(VLOOKUP(D158,Cadastro!$B$4:$H$100,2,FALSE),"")</f>
        <v/>
      </c>
      <c r="F158" t="str">
        <f>IFERROR(VLOOKUP(D158,Cadastro!$B$4:$H$100,3,FALSE),"")</f>
        <v/>
      </c>
      <c r="J158" s="7"/>
      <c r="K158" s="7"/>
      <c r="L158" s="7"/>
      <c r="M158" s="7"/>
      <c r="N158" s="7"/>
      <c r="O158" s="7"/>
      <c r="P158" s="8">
        <f t="shared" si="13"/>
        <v>0</v>
      </c>
      <c r="Q158" s="8">
        <f t="shared" si="14"/>
        <v>0</v>
      </c>
      <c r="R158" s="8">
        <f t="shared" si="15"/>
        <v>0</v>
      </c>
    </row>
    <row r="159" spans="1:18">
      <c r="A159" s="6"/>
      <c r="B159" t="str">
        <f t="shared" si="11"/>
        <v/>
      </c>
      <c r="C159" t="str">
        <f t="shared" si="12"/>
        <v/>
      </c>
      <c r="E159" t="str">
        <f>IFERROR(VLOOKUP(D159,Cadastro!$B$4:$H$100,2,FALSE),"")</f>
        <v/>
      </c>
      <c r="F159" t="str">
        <f>IFERROR(VLOOKUP(D159,Cadastro!$B$4:$H$100,3,FALSE),"")</f>
        <v/>
      </c>
      <c r="J159" s="7"/>
      <c r="K159" s="7"/>
      <c r="L159" s="7"/>
      <c r="M159" s="7"/>
      <c r="N159" s="7"/>
      <c r="O159" s="7"/>
      <c r="P159" s="8">
        <f t="shared" si="13"/>
        <v>0</v>
      </c>
      <c r="Q159" s="8">
        <f t="shared" si="14"/>
        <v>0</v>
      </c>
      <c r="R159" s="8">
        <f t="shared" si="15"/>
        <v>0</v>
      </c>
    </row>
    <row r="160" spans="1:18">
      <c r="A160" s="6"/>
      <c r="B160" t="str">
        <f t="shared" si="11"/>
        <v/>
      </c>
      <c r="C160" t="str">
        <f t="shared" si="12"/>
        <v/>
      </c>
      <c r="E160" t="str">
        <f>IFERROR(VLOOKUP(D160,Cadastro!$B$4:$H$100,2,FALSE),"")</f>
        <v/>
      </c>
      <c r="F160" t="str">
        <f>IFERROR(VLOOKUP(D160,Cadastro!$B$4:$H$100,3,FALSE),"")</f>
        <v/>
      </c>
      <c r="J160" s="7"/>
      <c r="K160" s="7"/>
      <c r="L160" s="7"/>
      <c r="M160" s="7"/>
      <c r="N160" s="7"/>
      <c r="O160" s="7"/>
      <c r="P160" s="8">
        <f t="shared" si="13"/>
        <v>0</v>
      </c>
      <c r="Q160" s="8">
        <f t="shared" si="14"/>
        <v>0</v>
      </c>
      <c r="R160" s="8">
        <f t="shared" si="15"/>
        <v>0</v>
      </c>
    </row>
    <row r="161" spans="1:18">
      <c r="A161" s="6"/>
      <c r="B161" t="str">
        <f t="shared" si="11"/>
        <v/>
      </c>
      <c r="C161" t="str">
        <f t="shared" si="12"/>
        <v/>
      </c>
      <c r="E161" t="str">
        <f>IFERROR(VLOOKUP(D161,Cadastro!$B$4:$H$100,2,FALSE),"")</f>
        <v/>
      </c>
      <c r="F161" t="str">
        <f>IFERROR(VLOOKUP(D161,Cadastro!$B$4:$H$100,3,FALSE),"")</f>
        <v/>
      </c>
      <c r="J161" s="7"/>
      <c r="K161" s="7"/>
      <c r="L161" s="7"/>
      <c r="M161" s="7"/>
      <c r="N161" s="7"/>
      <c r="O161" s="7"/>
      <c r="P161" s="8">
        <f t="shared" si="13"/>
        <v>0</v>
      </c>
      <c r="Q161" s="8">
        <f t="shared" si="14"/>
        <v>0</v>
      </c>
      <c r="R161" s="8">
        <f t="shared" si="15"/>
        <v>0</v>
      </c>
    </row>
    <row r="162" spans="1:18">
      <c r="A162" s="6"/>
      <c r="B162" t="str">
        <f t="shared" si="11"/>
        <v/>
      </c>
      <c r="C162" t="str">
        <f t="shared" si="12"/>
        <v/>
      </c>
      <c r="E162" t="str">
        <f>IFERROR(VLOOKUP(D162,Cadastro!$B$4:$H$100,2,FALSE),"")</f>
        <v/>
      </c>
      <c r="F162" t="str">
        <f>IFERROR(VLOOKUP(D162,Cadastro!$B$4:$H$100,3,FALSE),"")</f>
        <v/>
      </c>
      <c r="J162" s="7"/>
      <c r="K162" s="7"/>
      <c r="L162" s="7"/>
      <c r="M162" s="7"/>
      <c r="N162" s="7"/>
      <c r="O162" s="7"/>
      <c r="P162" s="8">
        <f t="shared" si="13"/>
        <v>0</v>
      </c>
      <c r="Q162" s="8">
        <f t="shared" si="14"/>
        <v>0</v>
      </c>
      <c r="R162" s="8">
        <f t="shared" si="15"/>
        <v>0</v>
      </c>
    </row>
    <row r="163" spans="1:18">
      <c r="A163" s="6"/>
      <c r="B163" t="str">
        <f t="shared" si="11"/>
        <v/>
      </c>
      <c r="C163" t="str">
        <f t="shared" si="12"/>
        <v/>
      </c>
      <c r="E163" t="str">
        <f>IFERROR(VLOOKUP(D163,Cadastro!$B$4:$H$100,2,FALSE),"")</f>
        <v/>
      </c>
      <c r="F163" t="str">
        <f>IFERROR(VLOOKUP(D163,Cadastro!$B$4:$H$100,3,FALSE),"")</f>
        <v/>
      </c>
      <c r="J163" s="7"/>
      <c r="K163" s="7"/>
      <c r="L163" s="7"/>
      <c r="M163" s="7"/>
      <c r="N163" s="7"/>
      <c r="O163" s="7"/>
      <c r="P163" s="8">
        <f t="shared" si="13"/>
        <v>0</v>
      </c>
      <c r="Q163" s="8">
        <f t="shared" si="14"/>
        <v>0</v>
      </c>
      <c r="R163" s="8">
        <f t="shared" si="15"/>
        <v>0</v>
      </c>
    </row>
    <row r="164" spans="1:18">
      <c r="A164" s="6"/>
      <c r="B164" t="str">
        <f t="shared" si="11"/>
        <v/>
      </c>
      <c r="C164" t="str">
        <f t="shared" si="12"/>
        <v/>
      </c>
      <c r="E164" t="str">
        <f>IFERROR(VLOOKUP(D164,Cadastro!$B$4:$H$100,2,FALSE),"")</f>
        <v/>
      </c>
      <c r="F164" t="str">
        <f>IFERROR(VLOOKUP(D164,Cadastro!$B$4:$H$100,3,FALSE),"")</f>
        <v/>
      </c>
      <c r="J164" s="7"/>
      <c r="K164" s="7"/>
      <c r="L164" s="7"/>
      <c r="M164" s="7"/>
      <c r="N164" s="7"/>
      <c r="O164" s="7"/>
      <c r="P164" s="8">
        <f t="shared" si="13"/>
        <v>0</v>
      </c>
      <c r="Q164" s="8">
        <f t="shared" si="14"/>
        <v>0</v>
      </c>
      <c r="R164" s="8">
        <f t="shared" si="15"/>
        <v>0</v>
      </c>
    </row>
    <row r="165" spans="1:18">
      <c r="A165" s="6"/>
      <c r="B165" t="str">
        <f t="shared" si="11"/>
        <v/>
      </c>
      <c r="C165" t="str">
        <f t="shared" si="12"/>
        <v/>
      </c>
      <c r="E165" t="str">
        <f>IFERROR(VLOOKUP(D165,Cadastro!$B$4:$H$100,2,FALSE),"")</f>
        <v/>
      </c>
      <c r="F165" t="str">
        <f>IFERROR(VLOOKUP(D165,Cadastro!$B$4:$H$100,3,FALSE),"")</f>
        <v/>
      </c>
      <c r="J165" s="7"/>
      <c r="K165" s="7"/>
      <c r="L165" s="7"/>
      <c r="M165" s="7"/>
      <c r="N165" s="7"/>
      <c r="O165" s="7"/>
      <c r="P165" s="8">
        <f t="shared" si="13"/>
        <v>0</v>
      </c>
      <c r="Q165" s="8">
        <f t="shared" si="14"/>
        <v>0</v>
      </c>
      <c r="R165" s="8">
        <f t="shared" si="15"/>
        <v>0</v>
      </c>
    </row>
    <row r="166" spans="1:18">
      <c r="A166" s="6"/>
      <c r="B166" t="str">
        <f t="shared" si="11"/>
        <v/>
      </c>
      <c r="C166" t="str">
        <f t="shared" si="12"/>
        <v/>
      </c>
      <c r="E166" t="str">
        <f>IFERROR(VLOOKUP(D166,Cadastro!$B$4:$H$100,2,FALSE),"")</f>
        <v/>
      </c>
      <c r="F166" t="str">
        <f>IFERROR(VLOOKUP(D166,Cadastro!$B$4:$H$100,3,FALSE),"")</f>
        <v/>
      </c>
      <c r="J166" s="7"/>
      <c r="K166" s="7"/>
      <c r="L166" s="7"/>
      <c r="M166" s="7"/>
      <c r="N166" s="7"/>
      <c r="O166" s="7"/>
      <c r="P166" s="8">
        <f t="shared" si="13"/>
        <v>0</v>
      </c>
      <c r="Q166" s="8">
        <f t="shared" si="14"/>
        <v>0</v>
      </c>
      <c r="R166" s="8">
        <f t="shared" si="15"/>
        <v>0</v>
      </c>
    </row>
    <row r="167" spans="1:18">
      <c r="A167" s="6"/>
      <c r="B167" t="str">
        <f t="shared" si="11"/>
        <v/>
      </c>
      <c r="C167" t="str">
        <f t="shared" si="12"/>
        <v/>
      </c>
      <c r="E167" t="str">
        <f>IFERROR(VLOOKUP(D167,Cadastro!$B$4:$H$100,2,FALSE),"")</f>
        <v/>
      </c>
      <c r="F167" t="str">
        <f>IFERROR(VLOOKUP(D167,Cadastro!$B$4:$H$100,3,FALSE),"")</f>
        <v/>
      </c>
      <c r="J167" s="7"/>
      <c r="K167" s="7"/>
      <c r="L167" s="7"/>
      <c r="M167" s="7"/>
      <c r="N167" s="7"/>
      <c r="O167" s="7"/>
      <c r="P167" s="8">
        <f t="shared" si="13"/>
        <v>0</v>
      </c>
      <c r="Q167" s="8">
        <f t="shared" si="14"/>
        <v>0</v>
      </c>
      <c r="R167" s="8">
        <f t="shared" si="15"/>
        <v>0</v>
      </c>
    </row>
    <row r="168" spans="1:18">
      <c r="A168" s="6"/>
      <c r="B168" t="str">
        <f t="shared" si="11"/>
        <v/>
      </c>
      <c r="C168" t="str">
        <f t="shared" si="12"/>
        <v/>
      </c>
      <c r="E168" t="str">
        <f>IFERROR(VLOOKUP(D168,Cadastro!$B$4:$H$100,2,FALSE),"")</f>
        <v/>
      </c>
      <c r="F168" t="str">
        <f>IFERROR(VLOOKUP(D168,Cadastro!$B$4:$H$100,3,FALSE),"")</f>
        <v/>
      </c>
      <c r="J168" s="7"/>
      <c r="K168" s="7"/>
      <c r="L168" s="7"/>
      <c r="M168" s="7"/>
      <c r="N168" s="7"/>
      <c r="O168" s="7"/>
      <c r="P168" s="8">
        <f t="shared" si="13"/>
        <v>0</v>
      </c>
      <c r="Q168" s="8">
        <f t="shared" si="14"/>
        <v>0</v>
      </c>
      <c r="R168" s="8">
        <f t="shared" si="15"/>
        <v>0</v>
      </c>
    </row>
    <row r="169" spans="1:18">
      <c r="A169" s="6"/>
      <c r="B169" t="str">
        <f t="shared" si="11"/>
        <v/>
      </c>
      <c r="C169" t="str">
        <f t="shared" si="12"/>
        <v/>
      </c>
      <c r="E169" t="str">
        <f>IFERROR(VLOOKUP(D169,Cadastro!$B$4:$H$100,2,FALSE),"")</f>
        <v/>
      </c>
      <c r="F169" t="str">
        <f>IFERROR(VLOOKUP(D169,Cadastro!$B$4:$H$100,3,FALSE),"")</f>
        <v/>
      </c>
      <c r="J169" s="7"/>
      <c r="K169" s="7"/>
      <c r="L169" s="7"/>
      <c r="M169" s="7"/>
      <c r="N169" s="7"/>
      <c r="O169" s="7"/>
      <c r="P169" s="8">
        <f t="shared" si="13"/>
        <v>0</v>
      </c>
      <c r="Q169" s="8">
        <f t="shared" si="14"/>
        <v>0</v>
      </c>
      <c r="R169" s="8">
        <f t="shared" si="15"/>
        <v>0</v>
      </c>
    </row>
    <row r="170" spans="1:18">
      <c r="A170" s="6"/>
      <c r="B170" t="str">
        <f t="shared" si="11"/>
        <v/>
      </c>
      <c r="C170" t="str">
        <f t="shared" si="12"/>
        <v/>
      </c>
      <c r="E170" t="str">
        <f>IFERROR(VLOOKUP(D170,Cadastro!$B$4:$H$100,2,FALSE),"")</f>
        <v/>
      </c>
      <c r="F170" t="str">
        <f>IFERROR(VLOOKUP(D170,Cadastro!$B$4:$H$100,3,FALSE),"")</f>
        <v/>
      </c>
      <c r="J170" s="7"/>
      <c r="K170" s="7"/>
      <c r="L170" s="7"/>
      <c r="M170" s="7"/>
      <c r="N170" s="7"/>
      <c r="O170" s="7"/>
      <c r="P170" s="8">
        <f t="shared" si="13"/>
        <v>0</v>
      </c>
      <c r="Q170" s="8">
        <f t="shared" si="14"/>
        <v>0</v>
      </c>
      <c r="R170" s="8">
        <f t="shared" si="15"/>
        <v>0</v>
      </c>
    </row>
    <row r="171" spans="1:18">
      <c r="A171" s="6"/>
      <c r="B171" t="str">
        <f t="shared" si="11"/>
        <v/>
      </c>
      <c r="C171" t="str">
        <f t="shared" si="12"/>
        <v/>
      </c>
      <c r="E171" t="str">
        <f>IFERROR(VLOOKUP(D171,Cadastro!$B$4:$H$100,2,FALSE),"")</f>
        <v/>
      </c>
      <c r="F171" t="str">
        <f>IFERROR(VLOOKUP(D171,Cadastro!$B$4:$H$100,3,FALSE),"")</f>
        <v/>
      </c>
      <c r="J171" s="7"/>
      <c r="K171" s="7"/>
      <c r="L171" s="7"/>
      <c r="M171" s="7"/>
      <c r="N171" s="7"/>
      <c r="O171" s="7"/>
      <c r="P171" s="8">
        <f t="shared" si="13"/>
        <v>0</v>
      </c>
      <c r="Q171" s="8">
        <f t="shared" si="14"/>
        <v>0</v>
      </c>
      <c r="R171" s="8">
        <f t="shared" si="15"/>
        <v>0</v>
      </c>
    </row>
    <row r="172" spans="1:18">
      <c r="A172" s="6"/>
      <c r="B172" t="str">
        <f t="shared" si="11"/>
        <v/>
      </c>
      <c r="C172" t="str">
        <f t="shared" si="12"/>
        <v/>
      </c>
      <c r="E172" t="str">
        <f>IFERROR(VLOOKUP(D172,Cadastro!$B$4:$H$100,2,FALSE),"")</f>
        <v/>
      </c>
      <c r="F172" t="str">
        <f>IFERROR(VLOOKUP(D172,Cadastro!$B$4:$H$100,3,FALSE),"")</f>
        <v/>
      </c>
      <c r="J172" s="7"/>
      <c r="K172" s="7"/>
      <c r="L172" s="7"/>
      <c r="M172" s="7"/>
      <c r="N172" s="7"/>
      <c r="O172" s="7"/>
      <c r="P172" s="8">
        <f t="shared" si="13"/>
        <v>0</v>
      </c>
      <c r="Q172" s="8">
        <f t="shared" si="14"/>
        <v>0</v>
      </c>
      <c r="R172" s="8">
        <f t="shared" si="15"/>
        <v>0</v>
      </c>
    </row>
    <row r="173" spans="1:18">
      <c r="A173" s="6"/>
      <c r="B173" t="str">
        <f t="shared" si="11"/>
        <v/>
      </c>
      <c r="C173" t="str">
        <f t="shared" si="12"/>
        <v/>
      </c>
      <c r="E173" t="str">
        <f>IFERROR(VLOOKUP(D173,Cadastro!$B$4:$H$100,2,FALSE),"")</f>
        <v/>
      </c>
      <c r="F173" t="str">
        <f>IFERROR(VLOOKUP(D173,Cadastro!$B$4:$H$100,3,FALSE),"")</f>
        <v/>
      </c>
      <c r="J173" s="7"/>
      <c r="K173" s="7"/>
      <c r="L173" s="7"/>
      <c r="M173" s="7"/>
      <c r="N173" s="7"/>
      <c r="O173" s="7"/>
      <c r="P173" s="8">
        <f t="shared" si="13"/>
        <v>0</v>
      </c>
      <c r="Q173" s="8">
        <f t="shared" si="14"/>
        <v>0</v>
      </c>
      <c r="R173" s="8">
        <f t="shared" si="15"/>
        <v>0</v>
      </c>
    </row>
    <row r="174" spans="1:18">
      <c r="A174" s="6"/>
      <c r="B174" t="str">
        <f t="shared" si="11"/>
        <v/>
      </c>
      <c r="C174" t="str">
        <f t="shared" si="12"/>
        <v/>
      </c>
      <c r="E174" t="str">
        <f>IFERROR(VLOOKUP(D174,Cadastro!$B$4:$H$100,2,FALSE),"")</f>
        <v/>
      </c>
      <c r="F174" t="str">
        <f>IFERROR(VLOOKUP(D174,Cadastro!$B$4:$H$100,3,FALSE),"")</f>
        <v/>
      </c>
      <c r="J174" s="7"/>
      <c r="K174" s="7"/>
      <c r="L174" s="7"/>
      <c r="M174" s="7"/>
      <c r="N174" s="7"/>
      <c r="O174" s="7"/>
      <c r="P174" s="8">
        <f t="shared" si="13"/>
        <v>0</v>
      </c>
      <c r="Q174" s="8">
        <f t="shared" si="14"/>
        <v>0</v>
      </c>
      <c r="R174" s="8">
        <f t="shared" si="15"/>
        <v>0</v>
      </c>
    </row>
    <row r="175" spans="1:18">
      <c r="A175" s="6"/>
      <c r="B175" t="str">
        <f t="shared" si="11"/>
        <v/>
      </c>
      <c r="C175" t="str">
        <f t="shared" si="12"/>
        <v/>
      </c>
      <c r="E175" t="str">
        <f>IFERROR(VLOOKUP(D175,Cadastro!$B$4:$H$100,2,FALSE),"")</f>
        <v/>
      </c>
      <c r="F175" t="str">
        <f>IFERROR(VLOOKUP(D175,Cadastro!$B$4:$H$100,3,FALSE),"")</f>
        <v/>
      </c>
      <c r="J175" s="7"/>
      <c r="K175" s="7"/>
      <c r="L175" s="7"/>
      <c r="M175" s="7"/>
      <c r="N175" s="7"/>
      <c r="O175" s="7"/>
      <c r="P175" s="8">
        <f t="shared" si="13"/>
        <v>0</v>
      </c>
      <c r="Q175" s="8">
        <f t="shared" si="14"/>
        <v>0</v>
      </c>
      <c r="R175" s="8">
        <f t="shared" si="15"/>
        <v>0</v>
      </c>
    </row>
    <row r="176" spans="1:18">
      <c r="A176" s="6"/>
      <c r="B176" t="str">
        <f t="shared" si="11"/>
        <v/>
      </c>
      <c r="C176" t="str">
        <f t="shared" si="12"/>
        <v/>
      </c>
      <c r="E176" t="str">
        <f>IFERROR(VLOOKUP(D176,Cadastro!$B$4:$H$100,2,FALSE),"")</f>
        <v/>
      </c>
      <c r="F176" t="str">
        <f>IFERROR(VLOOKUP(D176,Cadastro!$B$4:$H$100,3,FALSE),"")</f>
        <v/>
      </c>
      <c r="J176" s="7"/>
      <c r="K176" s="7"/>
      <c r="L176" s="7"/>
      <c r="M176" s="7"/>
      <c r="N176" s="7"/>
      <c r="O176" s="7"/>
      <c r="P176" s="8">
        <f t="shared" si="13"/>
        <v>0</v>
      </c>
      <c r="Q176" s="8">
        <f t="shared" si="14"/>
        <v>0</v>
      </c>
      <c r="R176" s="8">
        <f t="shared" si="15"/>
        <v>0</v>
      </c>
    </row>
    <row r="177" spans="1:18">
      <c r="A177" s="6"/>
      <c r="B177" t="str">
        <f t="shared" si="11"/>
        <v/>
      </c>
      <c r="C177" t="str">
        <f t="shared" si="12"/>
        <v/>
      </c>
      <c r="E177" t="str">
        <f>IFERROR(VLOOKUP(D177,Cadastro!$B$4:$H$100,2,FALSE),"")</f>
        <v/>
      </c>
      <c r="F177" t="str">
        <f>IFERROR(VLOOKUP(D177,Cadastro!$B$4:$H$100,3,FALSE),"")</f>
        <v/>
      </c>
      <c r="J177" s="7"/>
      <c r="K177" s="7"/>
      <c r="L177" s="7"/>
      <c r="M177" s="7"/>
      <c r="N177" s="7"/>
      <c r="O177" s="7"/>
      <c r="P177" s="8">
        <f t="shared" si="13"/>
        <v>0</v>
      </c>
      <c r="Q177" s="8">
        <f t="shared" si="14"/>
        <v>0</v>
      </c>
      <c r="R177" s="8">
        <f t="shared" si="15"/>
        <v>0</v>
      </c>
    </row>
    <row r="178" spans="1:18">
      <c r="A178" s="6"/>
      <c r="B178" t="str">
        <f t="shared" si="11"/>
        <v/>
      </c>
      <c r="C178" t="str">
        <f t="shared" si="12"/>
        <v/>
      </c>
      <c r="E178" t="str">
        <f>IFERROR(VLOOKUP(D178,Cadastro!$B$4:$H$100,2,FALSE),"")</f>
        <v/>
      </c>
      <c r="F178" t="str">
        <f>IFERROR(VLOOKUP(D178,Cadastro!$B$4:$H$100,3,FALSE),"")</f>
        <v/>
      </c>
      <c r="J178" s="7"/>
      <c r="K178" s="7"/>
      <c r="L178" s="7"/>
      <c r="M178" s="7"/>
      <c r="N178" s="7"/>
      <c r="O178" s="7"/>
      <c r="P178" s="8">
        <f t="shared" si="13"/>
        <v>0</v>
      </c>
      <c r="Q178" s="8">
        <f t="shared" si="14"/>
        <v>0</v>
      </c>
      <c r="R178" s="8">
        <f t="shared" si="15"/>
        <v>0</v>
      </c>
    </row>
    <row r="179" spans="1:18">
      <c r="A179" s="6"/>
      <c r="B179" t="str">
        <f t="shared" si="11"/>
        <v/>
      </c>
      <c r="C179" t="str">
        <f t="shared" si="12"/>
        <v/>
      </c>
      <c r="E179" t="str">
        <f>IFERROR(VLOOKUP(D179,Cadastro!$B$4:$H$100,2,FALSE),"")</f>
        <v/>
      </c>
      <c r="F179" t="str">
        <f>IFERROR(VLOOKUP(D179,Cadastro!$B$4:$H$100,3,FALSE),"")</f>
        <v/>
      </c>
      <c r="J179" s="7"/>
      <c r="K179" s="7"/>
      <c r="L179" s="7"/>
      <c r="M179" s="7"/>
      <c r="N179" s="7"/>
      <c r="O179" s="7"/>
      <c r="P179" s="8">
        <f t="shared" si="13"/>
        <v>0</v>
      </c>
      <c r="Q179" s="8">
        <f t="shared" si="14"/>
        <v>0</v>
      </c>
      <c r="R179" s="8">
        <f t="shared" si="15"/>
        <v>0</v>
      </c>
    </row>
    <row r="180" spans="1:18">
      <c r="A180" s="6"/>
      <c r="B180" t="str">
        <f t="shared" si="11"/>
        <v/>
      </c>
      <c r="C180" t="str">
        <f t="shared" si="12"/>
        <v/>
      </c>
      <c r="E180" t="str">
        <f>IFERROR(VLOOKUP(D180,Cadastro!$B$4:$H$100,2,FALSE),"")</f>
        <v/>
      </c>
      <c r="F180" t="str">
        <f>IFERROR(VLOOKUP(D180,Cadastro!$B$4:$H$100,3,FALSE),"")</f>
        <v/>
      </c>
      <c r="J180" s="7"/>
      <c r="K180" s="7"/>
      <c r="L180" s="7"/>
      <c r="M180" s="7"/>
      <c r="N180" s="7"/>
      <c r="O180" s="7"/>
      <c r="P180" s="8">
        <f t="shared" si="13"/>
        <v>0</v>
      </c>
      <c r="Q180" s="8">
        <f t="shared" si="14"/>
        <v>0</v>
      </c>
      <c r="R180" s="8">
        <f t="shared" si="15"/>
        <v>0</v>
      </c>
    </row>
    <row r="181" spans="1:18">
      <c r="A181" s="6"/>
      <c r="B181" t="str">
        <f t="shared" si="11"/>
        <v/>
      </c>
      <c r="C181" t="str">
        <f t="shared" si="12"/>
        <v/>
      </c>
      <c r="E181" t="str">
        <f>IFERROR(VLOOKUP(D181,Cadastro!$B$4:$H$100,2,FALSE),"")</f>
        <v/>
      </c>
      <c r="F181" t="str">
        <f>IFERROR(VLOOKUP(D181,Cadastro!$B$4:$H$100,3,FALSE),"")</f>
        <v/>
      </c>
      <c r="J181" s="7"/>
      <c r="K181" s="7"/>
      <c r="L181" s="7"/>
      <c r="M181" s="7"/>
      <c r="N181" s="7"/>
      <c r="O181" s="7"/>
      <c r="P181" s="8">
        <f t="shared" si="13"/>
        <v>0</v>
      </c>
      <c r="Q181" s="8">
        <f t="shared" si="14"/>
        <v>0</v>
      </c>
      <c r="R181" s="8">
        <f t="shared" si="15"/>
        <v>0</v>
      </c>
    </row>
    <row r="182" spans="1:18">
      <c r="A182" s="6"/>
      <c r="B182" t="str">
        <f t="shared" si="11"/>
        <v/>
      </c>
      <c r="C182" t="str">
        <f t="shared" si="12"/>
        <v/>
      </c>
      <c r="E182" t="str">
        <f>IFERROR(VLOOKUP(D182,Cadastro!$B$4:$H$100,2,FALSE),"")</f>
        <v/>
      </c>
      <c r="F182" t="str">
        <f>IFERROR(VLOOKUP(D182,Cadastro!$B$4:$H$100,3,FALSE),"")</f>
        <v/>
      </c>
      <c r="J182" s="7"/>
      <c r="K182" s="7"/>
      <c r="L182" s="7"/>
      <c r="M182" s="7"/>
      <c r="N182" s="7"/>
      <c r="O182" s="7"/>
      <c r="P182" s="8">
        <f t="shared" si="13"/>
        <v>0</v>
      </c>
      <c r="Q182" s="8">
        <f t="shared" si="14"/>
        <v>0</v>
      </c>
      <c r="R182" s="8">
        <f t="shared" si="15"/>
        <v>0</v>
      </c>
    </row>
    <row r="183" spans="1:18">
      <c r="A183" s="6"/>
      <c r="B183" t="str">
        <f t="shared" si="11"/>
        <v/>
      </c>
      <c r="C183" t="str">
        <f t="shared" si="12"/>
        <v/>
      </c>
      <c r="E183" t="str">
        <f>IFERROR(VLOOKUP(D183,Cadastro!$B$4:$H$100,2,FALSE),"")</f>
        <v/>
      </c>
      <c r="F183" t="str">
        <f>IFERROR(VLOOKUP(D183,Cadastro!$B$4:$H$100,3,FALSE),"")</f>
        <v/>
      </c>
      <c r="J183" s="7"/>
      <c r="K183" s="7"/>
      <c r="L183" s="7"/>
      <c r="M183" s="7"/>
      <c r="N183" s="7"/>
      <c r="O183" s="7"/>
      <c r="P183" s="8">
        <f t="shared" si="13"/>
        <v>0</v>
      </c>
      <c r="Q183" s="8">
        <f t="shared" si="14"/>
        <v>0</v>
      </c>
      <c r="R183" s="8">
        <f t="shared" si="15"/>
        <v>0</v>
      </c>
    </row>
    <row r="184" spans="1:18">
      <c r="A184" s="6"/>
      <c r="B184" t="str">
        <f t="shared" si="11"/>
        <v/>
      </c>
      <c r="C184" t="str">
        <f t="shared" si="12"/>
        <v/>
      </c>
      <c r="E184" t="str">
        <f>IFERROR(VLOOKUP(D184,Cadastro!$B$4:$H$100,2,FALSE),"")</f>
        <v/>
      </c>
      <c r="F184" t="str">
        <f>IFERROR(VLOOKUP(D184,Cadastro!$B$4:$H$100,3,FALSE),"")</f>
        <v/>
      </c>
      <c r="J184" s="7"/>
      <c r="K184" s="7"/>
      <c r="L184" s="7"/>
      <c r="M184" s="7"/>
      <c r="N184" s="7"/>
      <c r="O184" s="7"/>
      <c r="P184" s="8">
        <f t="shared" si="13"/>
        <v>0</v>
      </c>
      <c r="Q184" s="8">
        <f t="shared" si="14"/>
        <v>0</v>
      </c>
      <c r="R184" s="8">
        <f t="shared" si="15"/>
        <v>0</v>
      </c>
    </row>
    <row r="185" spans="1:18">
      <c r="A185" s="6"/>
      <c r="B185" t="str">
        <f t="shared" si="11"/>
        <v/>
      </c>
      <c r="C185" t="str">
        <f t="shared" si="12"/>
        <v/>
      </c>
      <c r="E185" t="str">
        <f>IFERROR(VLOOKUP(D185,Cadastro!$B$4:$H$100,2,FALSE),"")</f>
        <v/>
      </c>
      <c r="F185" t="str">
        <f>IFERROR(VLOOKUP(D185,Cadastro!$B$4:$H$100,3,FALSE),"")</f>
        <v/>
      </c>
      <c r="J185" s="7"/>
      <c r="K185" s="7"/>
      <c r="L185" s="7"/>
      <c r="M185" s="7"/>
      <c r="N185" s="7"/>
      <c r="O185" s="7"/>
      <c r="P185" s="8">
        <f t="shared" si="13"/>
        <v>0</v>
      </c>
      <c r="Q185" s="8">
        <f t="shared" si="14"/>
        <v>0</v>
      </c>
      <c r="R185" s="8">
        <f t="shared" si="15"/>
        <v>0</v>
      </c>
    </row>
    <row r="186" spans="1:18">
      <c r="A186" s="6"/>
      <c r="B186" t="str">
        <f t="shared" si="11"/>
        <v/>
      </c>
      <c r="C186" t="str">
        <f t="shared" si="12"/>
        <v/>
      </c>
      <c r="E186" t="str">
        <f>IFERROR(VLOOKUP(D186,Cadastro!$B$4:$H$100,2,FALSE),"")</f>
        <v/>
      </c>
      <c r="F186" t="str">
        <f>IFERROR(VLOOKUP(D186,Cadastro!$B$4:$H$100,3,FALSE),"")</f>
        <v/>
      </c>
      <c r="J186" s="7"/>
      <c r="K186" s="7"/>
      <c r="L186" s="7"/>
      <c r="M186" s="7"/>
      <c r="N186" s="7"/>
      <c r="O186" s="7"/>
      <c r="P186" s="8">
        <f t="shared" si="13"/>
        <v>0</v>
      </c>
      <c r="Q186" s="8">
        <f t="shared" si="14"/>
        <v>0</v>
      </c>
      <c r="R186" s="8">
        <f t="shared" si="15"/>
        <v>0</v>
      </c>
    </row>
    <row r="187" spans="1:18">
      <c r="A187" s="6"/>
      <c r="B187" t="str">
        <f t="shared" si="11"/>
        <v/>
      </c>
      <c r="C187" t="str">
        <f t="shared" si="12"/>
        <v/>
      </c>
      <c r="E187" t="str">
        <f>IFERROR(VLOOKUP(D187,Cadastro!$B$4:$H$100,2,FALSE),"")</f>
        <v/>
      </c>
      <c r="F187" t="str">
        <f>IFERROR(VLOOKUP(D187,Cadastro!$B$4:$H$100,3,FALSE),"")</f>
        <v/>
      </c>
      <c r="J187" s="7"/>
      <c r="K187" s="7"/>
      <c r="L187" s="7"/>
      <c r="M187" s="7"/>
      <c r="N187" s="7"/>
      <c r="O187" s="7"/>
      <c r="P187" s="8">
        <f t="shared" si="13"/>
        <v>0</v>
      </c>
      <c r="Q187" s="8">
        <f t="shared" si="14"/>
        <v>0</v>
      </c>
      <c r="R187" s="8">
        <f t="shared" si="15"/>
        <v>0</v>
      </c>
    </row>
    <row r="188" spans="1:18">
      <c r="A188" s="6"/>
      <c r="B188" t="str">
        <f t="shared" si="11"/>
        <v/>
      </c>
      <c r="C188" t="str">
        <f t="shared" si="12"/>
        <v/>
      </c>
      <c r="E188" t="str">
        <f>IFERROR(VLOOKUP(D188,Cadastro!$B$4:$H$100,2,FALSE),"")</f>
        <v/>
      </c>
      <c r="F188" t="str">
        <f>IFERROR(VLOOKUP(D188,Cadastro!$B$4:$H$100,3,FALSE),"")</f>
        <v/>
      </c>
      <c r="J188" s="7"/>
      <c r="K188" s="7"/>
      <c r="L188" s="7"/>
      <c r="M188" s="7"/>
      <c r="N188" s="7"/>
      <c r="O188" s="7"/>
      <c r="P188" s="8">
        <f t="shared" si="13"/>
        <v>0</v>
      </c>
      <c r="Q188" s="8">
        <f t="shared" si="14"/>
        <v>0</v>
      </c>
      <c r="R188" s="8">
        <f t="shared" si="15"/>
        <v>0</v>
      </c>
    </row>
    <row r="189" spans="1:18">
      <c r="A189" s="6"/>
      <c r="B189" t="str">
        <f t="shared" si="11"/>
        <v/>
      </c>
      <c r="C189" t="str">
        <f t="shared" si="12"/>
        <v/>
      </c>
      <c r="E189" t="str">
        <f>IFERROR(VLOOKUP(D189,Cadastro!$B$4:$H$100,2,FALSE),"")</f>
        <v/>
      </c>
      <c r="F189" t="str">
        <f>IFERROR(VLOOKUP(D189,Cadastro!$B$4:$H$100,3,FALSE),"")</f>
        <v/>
      </c>
      <c r="J189" s="7"/>
      <c r="K189" s="7"/>
      <c r="L189" s="7"/>
      <c r="M189" s="7"/>
      <c r="N189" s="7"/>
      <c r="O189" s="7"/>
      <c r="P189" s="8">
        <f t="shared" si="13"/>
        <v>0</v>
      </c>
      <c r="Q189" s="8">
        <f t="shared" si="14"/>
        <v>0</v>
      </c>
      <c r="R189" s="8">
        <f t="shared" si="15"/>
        <v>0</v>
      </c>
    </row>
    <row r="190" spans="1:18">
      <c r="A190" s="6"/>
      <c r="B190" t="str">
        <f t="shared" si="11"/>
        <v/>
      </c>
      <c r="C190" t="str">
        <f t="shared" si="12"/>
        <v/>
      </c>
      <c r="E190" t="str">
        <f>IFERROR(VLOOKUP(D190,Cadastro!$B$4:$H$100,2,FALSE),"")</f>
        <v/>
      </c>
      <c r="F190" t="str">
        <f>IFERROR(VLOOKUP(D190,Cadastro!$B$4:$H$100,3,FALSE),"")</f>
        <v/>
      </c>
      <c r="J190" s="7"/>
      <c r="K190" s="7"/>
      <c r="L190" s="7"/>
      <c r="M190" s="7"/>
      <c r="N190" s="7"/>
      <c r="O190" s="7"/>
      <c r="P190" s="8">
        <f t="shared" si="13"/>
        <v>0</v>
      </c>
      <c r="Q190" s="8">
        <f t="shared" si="14"/>
        <v>0</v>
      </c>
      <c r="R190" s="8">
        <f t="shared" si="15"/>
        <v>0</v>
      </c>
    </row>
    <row r="191" spans="1:18">
      <c r="A191" s="6"/>
      <c r="B191" t="str">
        <f t="shared" si="11"/>
        <v/>
      </c>
      <c r="C191" t="str">
        <f t="shared" si="12"/>
        <v/>
      </c>
      <c r="E191" t="str">
        <f>IFERROR(VLOOKUP(D191,Cadastro!$B$4:$H$100,2,FALSE),"")</f>
        <v/>
      </c>
      <c r="F191" t="str">
        <f>IFERROR(VLOOKUP(D191,Cadastro!$B$4:$H$100,3,FALSE),"")</f>
        <v/>
      </c>
      <c r="J191" s="7"/>
      <c r="K191" s="7"/>
      <c r="L191" s="7"/>
      <c r="M191" s="7"/>
      <c r="N191" s="7"/>
      <c r="O191" s="7"/>
      <c r="P191" s="8">
        <f t="shared" si="13"/>
        <v>0</v>
      </c>
      <c r="Q191" s="8">
        <f t="shared" si="14"/>
        <v>0</v>
      </c>
      <c r="R191" s="8">
        <f t="shared" si="15"/>
        <v>0</v>
      </c>
    </row>
    <row r="192" spans="1:18">
      <c r="A192" s="6"/>
      <c r="B192" t="str">
        <f t="shared" si="11"/>
        <v/>
      </c>
      <c r="C192" t="str">
        <f t="shared" si="12"/>
        <v/>
      </c>
      <c r="E192" t="str">
        <f>IFERROR(VLOOKUP(D192,Cadastro!$B$4:$H$100,2,FALSE),"")</f>
        <v/>
      </c>
      <c r="F192" t="str">
        <f>IFERROR(VLOOKUP(D192,Cadastro!$B$4:$H$100,3,FALSE),"")</f>
        <v/>
      </c>
      <c r="J192" s="7"/>
      <c r="K192" s="7"/>
      <c r="L192" s="7"/>
      <c r="M192" s="7"/>
      <c r="N192" s="7"/>
      <c r="O192" s="7"/>
      <c r="P192" s="8">
        <f t="shared" si="13"/>
        <v>0</v>
      </c>
      <c r="Q192" s="8">
        <f t="shared" si="14"/>
        <v>0</v>
      </c>
      <c r="R192" s="8">
        <f t="shared" si="15"/>
        <v>0</v>
      </c>
    </row>
    <row r="193" spans="1:18">
      <c r="A193" s="6"/>
      <c r="B193" t="str">
        <f t="shared" si="11"/>
        <v/>
      </c>
      <c r="C193" t="str">
        <f t="shared" si="12"/>
        <v/>
      </c>
      <c r="E193" t="str">
        <f>IFERROR(VLOOKUP(D193,Cadastro!$B$4:$H$100,2,FALSE),"")</f>
        <v/>
      </c>
      <c r="F193" t="str">
        <f>IFERROR(VLOOKUP(D193,Cadastro!$B$4:$H$100,3,FALSE),"")</f>
        <v/>
      </c>
      <c r="J193" s="7"/>
      <c r="K193" s="7"/>
      <c r="L193" s="7"/>
      <c r="M193" s="7"/>
      <c r="N193" s="7"/>
      <c r="O193" s="7"/>
      <c r="P193" s="8">
        <f t="shared" si="13"/>
        <v>0</v>
      </c>
      <c r="Q193" s="8">
        <f t="shared" si="14"/>
        <v>0</v>
      </c>
      <c r="R193" s="8">
        <f t="shared" si="15"/>
        <v>0</v>
      </c>
    </row>
    <row r="194" spans="1:18">
      <c r="A194" s="6"/>
      <c r="B194" t="str">
        <f t="shared" si="11"/>
        <v/>
      </c>
      <c r="C194" t="str">
        <f t="shared" si="12"/>
        <v/>
      </c>
      <c r="E194" t="str">
        <f>IFERROR(VLOOKUP(D194,Cadastro!$B$4:$H$100,2,FALSE),"")</f>
        <v/>
      </c>
      <c r="F194" t="str">
        <f>IFERROR(VLOOKUP(D194,Cadastro!$B$4:$H$100,3,FALSE),"")</f>
        <v/>
      </c>
      <c r="J194" s="7"/>
      <c r="K194" s="7"/>
      <c r="L194" s="7"/>
      <c r="M194" s="7"/>
      <c r="N194" s="7"/>
      <c r="O194" s="7"/>
      <c r="P194" s="8">
        <f t="shared" si="13"/>
        <v>0</v>
      </c>
      <c r="Q194" s="8">
        <f t="shared" si="14"/>
        <v>0</v>
      </c>
      <c r="R194" s="8">
        <f t="shared" si="15"/>
        <v>0</v>
      </c>
    </row>
    <row r="195" spans="1:18">
      <c r="A195" s="6"/>
      <c r="B195" t="str">
        <f t="shared" si="11"/>
        <v/>
      </c>
      <c r="C195" t="str">
        <f t="shared" si="12"/>
        <v/>
      </c>
      <c r="E195" t="str">
        <f>IFERROR(VLOOKUP(D195,Cadastro!$B$4:$H$100,2,FALSE),"")</f>
        <v/>
      </c>
      <c r="F195" t="str">
        <f>IFERROR(VLOOKUP(D195,Cadastro!$B$4:$H$100,3,FALSE),"")</f>
        <v/>
      </c>
      <c r="J195" s="7"/>
      <c r="K195" s="7"/>
      <c r="L195" s="7"/>
      <c r="M195" s="7"/>
      <c r="N195" s="7"/>
      <c r="O195" s="7"/>
      <c r="P195" s="8">
        <f t="shared" si="13"/>
        <v>0</v>
      </c>
      <c r="Q195" s="8">
        <f t="shared" si="14"/>
        <v>0</v>
      </c>
      <c r="R195" s="8">
        <f t="shared" si="15"/>
        <v>0</v>
      </c>
    </row>
    <row r="196" spans="1:18">
      <c r="A196" s="6"/>
      <c r="B196" t="str">
        <f t="shared" ref="B196:B259" si="16">IF(A196="","",YEAR(A196))</f>
        <v/>
      </c>
      <c r="C196" t="str">
        <f t="shared" ref="C196:C259" si="17">IF(A196="","",TEXT(A196,"mmmm"))</f>
        <v/>
      </c>
      <c r="E196" t="str">
        <f>IFERROR(VLOOKUP(D196,Cadastro!$B$4:$H$100,2,FALSE),"")</f>
        <v/>
      </c>
      <c r="F196" t="str">
        <f>IFERROR(VLOOKUP(D196,Cadastro!$B$4:$H$100,3,FALSE),"")</f>
        <v/>
      </c>
      <c r="J196" s="7"/>
      <c r="K196" s="7"/>
      <c r="L196" s="7"/>
      <c r="M196" s="7"/>
      <c r="N196" s="7"/>
      <c r="O196" s="7"/>
      <c r="P196" s="8">
        <f t="shared" ref="P196:P259" si="18">IF(OR(J196="",K196=""),0,(K196-J196)*24)+IF(OR(L196="",M196=""),0,(M196-L196)*24)+IF(OR(N196="",O196=""),0,(O196-N196)*24)</f>
        <v>0</v>
      </c>
      <c r="Q196" s="8">
        <f t="shared" ref="Q196:Q259" si="19">IF(OR(I196="Prática",I196="Teórico-prática"),P196,0)</f>
        <v>0</v>
      </c>
      <c r="R196" s="8">
        <f t="shared" ref="R196:R259" si="20">IF(OR(I196="Teórica",I196="Teórico-prática"),P196,0)</f>
        <v>0</v>
      </c>
    </row>
    <row r="197" spans="1:18">
      <c r="A197" s="6"/>
      <c r="B197" t="str">
        <f t="shared" si="16"/>
        <v/>
      </c>
      <c r="C197" t="str">
        <f t="shared" si="17"/>
        <v/>
      </c>
      <c r="E197" t="str">
        <f>IFERROR(VLOOKUP(D197,Cadastro!$B$4:$H$100,2,FALSE),"")</f>
        <v/>
      </c>
      <c r="F197" t="str">
        <f>IFERROR(VLOOKUP(D197,Cadastro!$B$4:$H$100,3,FALSE),"")</f>
        <v/>
      </c>
      <c r="J197" s="7"/>
      <c r="K197" s="7"/>
      <c r="L197" s="7"/>
      <c r="M197" s="7"/>
      <c r="N197" s="7"/>
      <c r="O197" s="7"/>
      <c r="P197" s="8">
        <f t="shared" si="18"/>
        <v>0</v>
      </c>
      <c r="Q197" s="8">
        <f t="shared" si="19"/>
        <v>0</v>
      </c>
      <c r="R197" s="8">
        <f t="shared" si="20"/>
        <v>0</v>
      </c>
    </row>
    <row r="198" spans="1:18">
      <c r="A198" s="6"/>
      <c r="B198" t="str">
        <f t="shared" si="16"/>
        <v/>
      </c>
      <c r="C198" t="str">
        <f t="shared" si="17"/>
        <v/>
      </c>
      <c r="E198" t="str">
        <f>IFERROR(VLOOKUP(D198,Cadastro!$B$4:$H$100,2,FALSE),"")</f>
        <v/>
      </c>
      <c r="F198" t="str">
        <f>IFERROR(VLOOKUP(D198,Cadastro!$B$4:$H$100,3,FALSE),"")</f>
        <v/>
      </c>
      <c r="J198" s="7"/>
      <c r="K198" s="7"/>
      <c r="L198" s="7"/>
      <c r="M198" s="7"/>
      <c r="N198" s="7"/>
      <c r="O198" s="7"/>
      <c r="P198" s="8">
        <f t="shared" si="18"/>
        <v>0</v>
      </c>
      <c r="Q198" s="8">
        <f t="shared" si="19"/>
        <v>0</v>
      </c>
      <c r="R198" s="8">
        <f t="shared" si="20"/>
        <v>0</v>
      </c>
    </row>
    <row r="199" spans="1:18">
      <c r="A199" s="6"/>
      <c r="B199" t="str">
        <f t="shared" si="16"/>
        <v/>
      </c>
      <c r="C199" t="str">
        <f t="shared" si="17"/>
        <v/>
      </c>
      <c r="E199" t="str">
        <f>IFERROR(VLOOKUP(D199,Cadastro!$B$4:$H$100,2,FALSE),"")</f>
        <v/>
      </c>
      <c r="F199" t="str">
        <f>IFERROR(VLOOKUP(D199,Cadastro!$B$4:$H$100,3,FALSE),"")</f>
        <v/>
      </c>
      <c r="J199" s="7"/>
      <c r="K199" s="7"/>
      <c r="L199" s="7"/>
      <c r="M199" s="7"/>
      <c r="N199" s="7"/>
      <c r="O199" s="7"/>
      <c r="P199" s="8">
        <f t="shared" si="18"/>
        <v>0</v>
      </c>
      <c r="Q199" s="8">
        <f t="shared" si="19"/>
        <v>0</v>
      </c>
      <c r="R199" s="8">
        <f t="shared" si="20"/>
        <v>0</v>
      </c>
    </row>
    <row r="200" spans="1:18">
      <c r="A200" s="6"/>
      <c r="B200" t="str">
        <f t="shared" si="16"/>
        <v/>
      </c>
      <c r="C200" t="str">
        <f t="shared" si="17"/>
        <v/>
      </c>
      <c r="E200" t="str">
        <f>IFERROR(VLOOKUP(D200,Cadastro!$B$4:$H$100,2,FALSE),"")</f>
        <v/>
      </c>
      <c r="F200" t="str">
        <f>IFERROR(VLOOKUP(D200,Cadastro!$B$4:$H$100,3,FALSE),"")</f>
        <v/>
      </c>
      <c r="J200" s="7"/>
      <c r="K200" s="7"/>
      <c r="L200" s="7"/>
      <c r="M200" s="7"/>
      <c r="N200" s="7"/>
      <c r="O200" s="7"/>
      <c r="P200" s="8">
        <f t="shared" si="18"/>
        <v>0</v>
      </c>
      <c r="Q200" s="8">
        <f t="shared" si="19"/>
        <v>0</v>
      </c>
      <c r="R200" s="8">
        <f t="shared" si="20"/>
        <v>0</v>
      </c>
    </row>
    <row r="201" spans="1:18">
      <c r="A201" s="6"/>
      <c r="B201" t="str">
        <f t="shared" si="16"/>
        <v/>
      </c>
      <c r="C201" t="str">
        <f t="shared" si="17"/>
        <v/>
      </c>
      <c r="E201" t="str">
        <f>IFERROR(VLOOKUP(D201,Cadastro!$B$4:$H$100,2,FALSE),"")</f>
        <v/>
      </c>
      <c r="F201" t="str">
        <f>IFERROR(VLOOKUP(D201,Cadastro!$B$4:$H$100,3,FALSE),"")</f>
        <v/>
      </c>
      <c r="J201" s="7"/>
      <c r="K201" s="7"/>
      <c r="L201" s="7"/>
      <c r="M201" s="7"/>
      <c r="N201" s="7"/>
      <c r="O201" s="7"/>
      <c r="P201" s="8">
        <f t="shared" si="18"/>
        <v>0</v>
      </c>
      <c r="Q201" s="8">
        <f t="shared" si="19"/>
        <v>0</v>
      </c>
      <c r="R201" s="8">
        <f t="shared" si="20"/>
        <v>0</v>
      </c>
    </row>
    <row r="202" spans="1:18">
      <c r="A202" s="6"/>
      <c r="B202" t="str">
        <f t="shared" si="16"/>
        <v/>
      </c>
      <c r="C202" t="str">
        <f t="shared" si="17"/>
        <v/>
      </c>
      <c r="E202" t="str">
        <f>IFERROR(VLOOKUP(D202,Cadastro!$B$4:$H$100,2,FALSE),"")</f>
        <v/>
      </c>
      <c r="F202" t="str">
        <f>IFERROR(VLOOKUP(D202,Cadastro!$B$4:$H$100,3,FALSE),"")</f>
        <v/>
      </c>
      <c r="J202" s="7"/>
      <c r="K202" s="7"/>
      <c r="L202" s="7"/>
      <c r="M202" s="7"/>
      <c r="N202" s="7"/>
      <c r="O202" s="7"/>
      <c r="P202" s="8">
        <f t="shared" si="18"/>
        <v>0</v>
      </c>
      <c r="Q202" s="8">
        <f t="shared" si="19"/>
        <v>0</v>
      </c>
      <c r="R202" s="8">
        <f t="shared" si="20"/>
        <v>0</v>
      </c>
    </row>
    <row r="203" spans="1:18">
      <c r="A203" s="6"/>
      <c r="B203" t="str">
        <f t="shared" si="16"/>
        <v/>
      </c>
      <c r="C203" t="str">
        <f t="shared" si="17"/>
        <v/>
      </c>
      <c r="E203" t="str">
        <f>IFERROR(VLOOKUP(D203,Cadastro!$B$4:$H$100,2,FALSE),"")</f>
        <v/>
      </c>
      <c r="F203" t="str">
        <f>IFERROR(VLOOKUP(D203,Cadastro!$B$4:$H$100,3,FALSE),"")</f>
        <v/>
      </c>
      <c r="J203" s="7"/>
      <c r="K203" s="7"/>
      <c r="L203" s="7"/>
      <c r="M203" s="7"/>
      <c r="N203" s="7"/>
      <c r="O203" s="7"/>
      <c r="P203" s="8">
        <f t="shared" si="18"/>
        <v>0</v>
      </c>
      <c r="Q203" s="8">
        <f t="shared" si="19"/>
        <v>0</v>
      </c>
      <c r="R203" s="8">
        <f t="shared" si="20"/>
        <v>0</v>
      </c>
    </row>
    <row r="204" spans="1:18">
      <c r="A204" s="6"/>
      <c r="B204" t="str">
        <f t="shared" si="16"/>
        <v/>
      </c>
      <c r="C204" t="str">
        <f t="shared" si="17"/>
        <v/>
      </c>
      <c r="E204" t="str">
        <f>IFERROR(VLOOKUP(D204,Cadastro!$B$4:$H$100,2,FALSE),"")</f>
        <v/>
      </c>
      <c r="F204" t="str">
        <f>IFERROR(VLOOKUP(D204,Cadastro!$B$4:$H$100,3,FALSE),"")</f>
        <v/>
      </c>
      <c r="J204" s="7"/>
      <c r="K204" s="7"/>
      <c r="L204" s="7"/>
      <c r="M204" s="7"/>
      <c r="N204" s="7"/>
      <c r="O204" s="7"/>
      <c r="P204" s="8">
        <f t="shared" si="18"/>
        <v>0</v>
      </c>
      <c r="Q204" s="8">
        <f t="shared" si="19"/>
        <v>0</v>
      </c>
      <c r="R204" s="8">
        <f t="shared" si="20"/>
        <v>0</v>
      </c>
    </row>
    <row r="205" spans="1:18">
      <c r="A205" s="6"/>
      <c r="B205" t="str">
        <f t="shared" si="16"/>
        <v/>
      </c>
      <c r="C205" t="str">
        <f t="shared" si="17"/>
        <v/>
      </c>
      <c r="E205" t="str">
        <f>IFERROR(VLOOKUP(D205,Cadastro!$B$4:$H$100,2,FALSE),"")</f>
        <v/>
      </c>
      <c r="F205" t="str">
        <f>IFERROR(VLOOKUP(D205,Cadastro!$B$4:$H$100,3,FALSE),"")</f>
        <v/>
      </c>
      <c r="J205" s="7"/>
      <c r="K205" s="7"/>
      <c r="L205" s="7"/>
      <c r="M205" s="7"/>
      <c r="N205" s="7"/>
      <c r="O205" s="7"/>
      <c r="P205" s="8">
        <f t="shared" si="18"/>
        <v>0</v>
      </c>
      <c r="Q205" s="8">
        <f t="shared" si="19"/>
        <v>0</v>
      </c>
      <c r="R205" s="8">
        <f t="shared" si="20"/>
        <v>0</v>
      </c>
    </row>
    <row r="206" spans="1:18">
      <c r="A206" s="6"/>
      <c r="B206" t="str">
        <f t="shared" si="16"/>
        <v/>
      </c>
      <c r="C206" t="str">
        <f t="shared" si="17"/>
        <v/>
      </c>
      <c r="E206" t="str">
        <f>IFERROR(VLOOKUP(D206,Cadastro!$B$4:$H$100,2,FALSE),"")</f>
        <v/>
      </c>
      <c r="F206" t="str">
        <f>IFERROR(VLOOKUP(D206,Cadastro!$B$4:$H$100,3,FALSE),"")</f>
        <v/>
      </c>
      <c r="J206" s="7"/>
      <c r="K206" s="7"/>
      <c r="L206" s="7"/>
      <c r="M206" s="7"/>
      <c r="N206" s="7"/>
      <c r="O206" s="7"/>
      <c r="P206" s="8">
        <f t="shared" si="18"/>
        <v>0</v>
      </c>
      <c r="Q206" s="8">
        <f t="shared" si="19"/>
        <v>0</v>
      </c>
      <c r="R206" s="8">
        <f t="shared" si="20"/>
        <v>0</v>
      </c>
    </row>
    <row r="207" spans="1:18">
      <c r="A207" s="6"/>
      <c r="B207" t="str">
        <f t="shared" si="16"/>
        <v/>
      </c>
      <c r="C207" t="str">
        <f t="shared" si="17"/>
        <v/>
      </c>
      <c r="E207" t="str">
        <f>IFERROR(VLOOKUP(D207,Cadastro!$B$4:$H$100,2,FALSE),"")</f>
        <v/>
      </c>
      <c r="F207" t="str">
        <f>IFERROR(VLOOKUP(D207,Cadastro!$B$4:$H$100,3,FALSE),"")</f>
        <v/>
      </c>
      <c r="J207" s="7"/>
      <c r="K207" s="7"/>
      <c r="L207" s="7"/>
      <c r="M207" s="7"/>
      <c r="N207" s="7"/>
      <c r="O207" s="7"/>
      <c r="P207" s="8">
        <f t="shared" si="18"/>
        <v>0</v>
      </c>
      <c r="Q207" s="8">
        <f t="shared" si="19"/>
        <v>0</v>
      </c>
      <c r="R207" s="8">
        <f t="shared" si="20"/>
        <v>0</v>
      </c>
    </row>
    <row r="208" spans="1:18">
      <c r="A208" s="6"/>
      <c r="B208" t="str">
        <f t="shared" si="16"/>
        <v/>
      </c>
      <c r="C208" t="str">
        <f t="shared" si="17"/>
        <v/>
      </c>
      <c r="E208" t="str">
        <f>IFERROR(VLOOKUP(D208,Cadastro!$B$4:$H$100,2,FALSE),"")</f>
        <v/>
      </c>
      <c r="F208" t="str">
        <f>IFERROR(VLOOKUP(D208,Cadastro!$B$4:$H$100,3,FALSE),"")</f>
        <v/>
      </c>
      <c r="J208" s="7"/>
      <c r="K208" s="7"/>
      <c r="L208" s="7"/>
      <c r="M208" s="7"/>
      <c r="N208" s="7"/>
      <c r="O208" s="7"/>
      <c r="P208" s="8">
        <f t="shared" si="18"/>
        <v>0</v>
      </c>
      <c r="Q208" s="8">
        <f t="shared" si="19"/>
        <v>0</v>
      </c>
      <c r="R208" s="8">
        <f t="shared" si="20"/>
        <v>0</v>
      </c>
    </row>
    <row r="209" spans="1:18">
      <c r="A209" s="6"/>
      <c r="B209" t="str">
        <f t="shared" si="16"/>
        <v/>
      </c>
      <c r="C209" t="str">
        <f t="shared" si="17"/>
        <v/>
      </c>
      <c r="E209" t="str">
        <f>IFERROR(VLOOKUP(D209,Cadastro!$B$4:$H$100,2,FALSE),"")</f>
        <v/>
      </c>
      <c r="F209" t="str">
        <f>IFERROR(VLOOKUP(D209,Cadastro!$B$4:$H$100,3,FALSE),"")</f>
        <v/>
      </c>
      <c r="J209" s="7"/>
      <c r="K209" s="7"/>
      <c r="L209" s="7"/>
      <c r="M209" s="7"/>
      <c r="N209" s="7"/>
      <c r="O209" s="7"/>
      <c r="P209" s="8">
        <f t="shared" si="18"/>
        <v>0</v>
      </c>
      <c r="Q209" s="8">
        <f t="shared" si="19"/>
        <v>0</v>
      </c>
      <c r="R209" s="8">
        <f t="shared" si="20"/>
        <v>0</v>
      </c>
    </row>
    <row r="210" spans="1:18">
      <c r="A210" s="6"/>
      <c r="B210" t="str">
        <f t="shared" si="16"/>
        <v/>
      </c>
      <c r="C210" t="str">
        <f t="shared" si="17"/>
        <v/>
      </c>
      <c r="E210" t="str">
        <f>IFERROR(VLOOKUP(D210,Cadastro!$B$4:$H$100,2,FALSE),"")</f>
        <v/>
      </c>
      <c r="F210" t="str">
        <f>IFERROR(VLOOKUP(D210,Cadastro!$B$4:$H$100,3,FALSE),"")</f>
        <v/>
      </c>
      <c r="J210" s="7"/>
      <c r="K210" s="7"/>
      <c r="L210" s="7"/>
      <c r="M210" s="7"/>
      <c r="N210" s="7"/>
      <c r="O210" s="7"/>
      <c r="P210" s="8">
        <f t="shared" si="18"/>
        <v>0</v>
      </c>
      <c r="Q210" s="8">
        <f t="shared" si="19"/>
        <v>0</v>
      </c>
      <c r="R210" s="8">
        <f t="shared" si="20"/>
        <v>0</v>
      </c>
    </row>
    <row r="211" spans="1:18">
      <c r="A211" s="6"/>
      <c r="B211" t="str">
        <f t="shared" si="16"/>
        <v/>
      </c>
      <c r="C211" t="str">
        <f t="shared" si="17"/>
        <v/>
      </c>
      <c r="E211" t="str">
        <f>IFERROR(VLOOKUP(D211,Cadastro!$B$4:$H$100,2,FALSE),"")</f>
        <v/>
      </c>
      <c r="F211" t="str">
        <f>IFERROR(VLOOKUP(D211,Cadastro!$B$4:$H$100,3,FALSE),"")</f>
        <v/>
      </c>
      <c r="J211" s="7"/>
      <c r="K211" s="7"/>
      <c r="L211" s="7"/>
      <c r="M211" s="7"/>
      <c r="N211" s="7"/>
      <c r="O211" s="7"/>
      <c r="P211" s="8">
        <f t="shared" si="18"/>
        <v>0</v>
      </c>
      <c r="Q211" s="8">
        <f t="shared" si="19"/>
        <v>0</v>
      </c>
      <c r="R211" s="8">
        <f t="shared" si="20"/>
        <v>0</v>
      </c>
    </row>
    <row r="212" spans="1:18">
      <c r="A212" s="6"/>
      <c r="B212" t="str">
        <f t="shared" si="16"/>
        <v/>
      </c>
      <c r="C212" t="str">
        <f t="shared" si="17"/>
        <v/>
      </c>
      <c r="E212" t="str">
        <f>IFERROR(VLOOKUP(D212,Cadastro!$B$4:$H$100,2,FALSE),"")</f>
        <v/>
      </c>
      <c r="F212" t="str">
        <f>IFERROR(VLOOKUP(D212,Cadastro!$B$4:$H$100,3,FALSE),"")</f>
        <v/>
      </c>
      <c r="J212" s="7"/>
      <c r="K212" s="7"/>
      <c r="L212" s="7"/>
      <c r="M212" s="7"/>
      <c r="N212" s="7"/>
      <c r="O212" s="7"/>
      <c r="P212" s="8">
        <f t="shared" si="18"/>
        <v>0</v>
      </c>
      <c r="Q212" s="8">
        <f t="shared" si="19"/>
        <v>0</v>
      </c>
      <c r="R212" s="8">
        <f t="shared" si="20"/>
        <v>0</v>
      </c>
    </row>
    <row r="213" spans="1:18">
      <c r="A213" s="6"/>
      <c r="B213" t="str">
        <f t="shared" si="16"/>
        <v/>
      </c>
      <c r="C213" t="str">
        <f t="shared" si="17"/>
        <v/>
      </c>
      <c r="E213" t="str">
        <f>IFERROR(VLOOKUP(D213,Cadastro!$B$4:$H$100,2,FALSE),"")</f>
        <v/>
      </c>
      <c r="F213" t="str">
        <f>IFERROR(VLOOKUP(D213,Cadastro!$B$4:$H$100,3,FALSE),"")</f>
        <v/>
      </c>
      <c r="J213" s="7"/>
      <c r="K213" s="7"/>
      <c r="L213" s="7"/>
      <c r="M213" s="7"/>
      <c r="N213" s="7"/>
      <c r="O213" s="7"/>
      <c r="P213" s="8">
        <f t="shared" si="18"/>
        <v>0</v>
      </c>
      <c r="Q213" s="8">
        <f t="shared" si="19"/>
        <v>0</v>
      </c>
      <c r="R213" s="8">
        <f t="shared" si="20"/>
        <v>0</v>
      </c>
    </row>
    <row r="214" spans="1:18">
      <c r="A214" s="6"/>
      <c r="B214" t="str">
        <f t="shared" si="16"/>
        <v/>
      </c>
      <c r="C214" t="str">
        <f t="shared" si="17"/>
        <v/>
      </c>
      <c r="E214" t="str">
        <f>IFERROR(VLOOKUP(D214,Cadastro!$B$4:$H$100,2,FALSE),"")</f>
        <v/>
      </c>
      <c r="F214" t="str">
        <f>IFERROR(VLOOKUP(D214,Cadastro!$B$4:$H$100,3,FALSE),"")</f>
        <v/>
      </c>
      <c r="J214" s="7"/>
      <c r="K214" s="7"/>
      <c r="L214" s="7"/>
      <c r="M214" s="7"/>
      <c r="N214" s="7"/>
      <c r="O214" s="7"/>
      <c r="P214" s="8">
        <f t="shared" si="18"/>
        <v>0</v>
      </c>
      <c r="Q214" s="8">
        <f t="shared" si="19"/>
        <v>0</v>
      </c>
      <c r="R214" s="8">
        <f t="shared" si="20"/>
        <v>0</v>
      </c>
    </row>
    <row r="215" spans="1:18">
      <c r="A215" s="6"/>
      <c r="B215" t="str">
        <f t="shared" si="16"/>
        <v/>
      </c>
      <c r="C215" t="str">
        <f t="shared" si="17"/>
        <v/>
      </c>
      <c r="E215" t="str">
        <f>IFERROR(VLOOKUP(D215,Cadastro!$B$4:$H$100,2,FALSE),"")</f>
        <v/>
      </c>
      <c r="F215" t="str">
        <f>IFERROR(VLOOKUP(D215,Cadastro!$B$4:$H$100,3,FALSE),"")</f>
        <v/>
      </c>
      <c r="J215" s="7"/>
      <c r="K215" s="7"/>
      <c r="L215" s="7"/>
      <c r="M215" s="7"/>
      <c r="N215" s="7"/>
      <c r="O215" s="7"/>
      <c r="P215" s="8">
        <f t="shared" si="18"/>
        <v>0</v>
      </c>
      <c r="Q215" s="8">
        <f t="shared" si="19"/>
        <v>0</v>
      </c>
      <c r="R215" s="8">
        <f t="shared" si="20"/>
        <v>0</v>
      </c>
    </row>
    <row r="216" spans="1:18">
      <c r="A216" s="6"/>
      <c r="B216" t="str">
        <f t="shared" si="16"/>
        <v/>
      </c>
      <c r="C216" t="str">
        <f t="shared" si="17"/>
        <v/>
      </c>
      <c r="E216" t="str">
        <f>IFERROR(VLOOKUP(D216,Cadastro!$B$4:$H$100,2,FALSE),"")</f>
        <v/>
      </c>
      <c r="F216" t="str">
        <f>IFERROR(VLOOKUP(D216,Cadastro!$B$4:$H$100,3,FALSE),"")</f>
        <v/>
      </c>
      <c r="J216" s="7"/>
      <c r="K216" s="7"/>
      <c r="L216" s="7"/>
      <c r="M216" s="7"/>
      <c r="N216" s="7"/>
      <c r="O216" s="7"/>
      <c r="P216" s="8">
        <f t="shared" si="18"/>
        <v>0</v>
      </c>
      <c r="Q216" s="8">
        <f t="shared" si="19"/>
        <v>0</v>
      </c>
      <c r="R216" s="8">
        <f t="shared" si="20"/>
        <v>0</v>
      </c>
    </row>
    <row r="217" spans="1:18">
      <c r="A217" s="6"/>
      <c r="B217" t="str">
        <f t="shared" si="16"/>
        <v/>
      </c>
      <c r="C217" t="str">
        <f t="shared" si="17"/>
        <v/>
      </c>
      <c r="E217" t="str">
        <f>IFERROR(VLOOKUP(D217,Cadastro!$B$4:$H$100,2,FALSE),"")</f>
        <v/>
      </c>
      <c r="F217" t="str">
        <f>IFERROR(VLOOKUP(D217,Cadastro!$B$4:$H$100,3,FALSE),"")</f>
        <v/>
      </c>
      <c r="J217" s="7"/>
      <c r="K217" s="7"/>
      <c r="L217" s="7"/>
      <c r="M217" s="7"/>
      <c r="N217" s="7"/>
      <c r="O217" s="7"/>
      <c r="P217" s="8">
        <f t="shared" si="18"/>
        <v>0</v>
      </c>
      <c r="Q217" s="8">
        <f t="shared" si="19"/>
        <v>0</v>
      </c>
      <c r="R217" s="8">
        <f t="shared" si="20"/>
        <v>0</v>
      </c>
    </row>
    <row r="218" spans="1:18">
      <c r="A218" s="6"/>
      <c r="B218" t="str">
        <f t="shared" si="16"/>
        <v/>
      </c>
      <c r="C218" t="str">
        <f t="shared" si="17"/>
        <v/>
      </c>
      <c r="E218" t="str">
        <f>IFERROR(VLOOKUP(D218,Cadastro!$B$4:$H$100,2,FALSE),"")</f>
        <v/>
      </c>
      <c r="F218" t="str">
        <f>IFERROR(VLOOKUP(D218,Cadastro!$B$4:$H$100,3,FALSE),"")</f>
        <v/>
      </c>
      <c r="J218" s="7"/>
      <c r="K218" s="7"/>
      <c r="L218" s="7"/>
      <c r="M218" s="7"/>
      <c r="N218" s="7"/>
      <c r="O218" s="7"/>
      <c r="P218" s="8">
        <f t="shared" si="18"/>
        <v>0</v>
      </c>
      <c r="Q218" s="8">
        <f t="shared" si="19"/>
        <v>0</v>
      </c>
      <c r="R218" s="8">
        <f t="shared" si="20"/>
        <v>0</v>
      </c>
    </row>
    <row r="219" spans="1:18">
      <c r="A219" s="6"/>
      <c r="B219" t="str">
        <f t="shared" si="16"/>
        <v/>
      </c>
      <c r="C219" t="str">
        <f t="shared" si="17"/>
        <v/>
      </c>
      <c r="E219" t="str">
        <f>IFERROR(VLOOKUP(D219,Cadastro!$B$4:$H$100,2,FALSE),"")</f>
        <v/>
      </c>
      <c r="F219" t="str">
        <f>IFERROR(VLOOKUP(D219,Cadastro!$B$4:$H$100,3,FALSE),"")</f>
        <v/>
      </c>
      <c r="J219" s="7"/>
      <c r="K219" s="7"/>
      <c r="L219" s="7"/>
      <c r="M219" s="7"/>
      <c r="N219" s="7"/>
      <c r="O219" s="7"/>
      <c r="P219" s="8">
        <f t="shared" si="18"/>
        <v>0</v>
      </c>
      <c r="Q219" s="8">
        <f t="shared" si="19"/>
        <v>0</v>
      </c>
      <c r="R219" s="8">
        <f t="shared" si="20"/>
        <v>0</v>
      </c>
    </row>
    <row r="220" spans="1:18">
      <c r="A220" s="6"/>
      <c r="B220" t="str">
        <f t="shared" si="16"/>
        <v/>
      </c>
      <c r="C220" t="str">
        <f t="shared" si="17"/>
        <v/>
      </c>
      <c r="E220" t="str">
        <f>IFERROR(VLOOKUP(D220,Cadastro!$B$4:$H$100,2,FALSE),"")</f>
        <v/>
      </c>
      <c r="F220" t="str">
        <f>IFERROR(VLOOKUP(D220,Cadastro!$B$4:$H$100,3,FALSE),"")</f>
        <v/>
      </c>
      <c r="J220" s="7"/>
      <c r="K220" s="7"/>
      <c r="L220" s="7"/>
      <c r="M220" s="7"/>
      <c r="N220" s="7"/>
      <c r="O220" s="7"/>
      <c r="P220" s="8">
        <f t="shared" si="18"/>
        <v>0</v>
      </c>
      <c r="Q220" s="8">
        <f t="shared" si="19"/>
        <v>0</v>
      </c>
      <c r="R220" s="8">
        <f t="shared" si="20"/>
        <v>0</v>
      </c>
    </row>
    <row r="221" spans="1:18">
      <c r="A221" s="6"/>
      <c r="B221" t="str">
        <f t="shared" si="16"/>
        <v/>
      </c>
      <c r="C221" t="str">
        <f t="shared" si="17"/>
        <v/>
      </c>
      <c r="E221" t="str">
        <f>IFERROR(VLOOKUP(D221,Cadastro!$B$4:$H$100,2,FALSE),"")</f>
        <v/>
      </c>
      <c r="F221" t="str">
        <f>IFERROR(VLOOKUP(D221,Cadastro!$B$4:$H$100,3,FALSE),"")</f>
        <v/>
      </c>
      <c r="J221" s="7"/>
      <c r="K221" s="7"/>
      <c r="L221" s="7"/>
      <c r="M221" s="7"/>
      <c r="N221" s="7"/>
      <c r="O221" s="7"/>
      <c r="P221" s="8">
        <f t="shared" si="18"/>
        <v>0</v>
      </c>
      <c r="Q221" s="8">
        <f t="shared" si="19"/>
        <v>0</v>
      </c>
      <c r="R221" s="8">
        <f t="shared" si="20"/>
        <v>0</v>
      </c>
    </row>
    <row r="222" spans="1:18">
      <c r="A222" s="6"/>
      <c r="B222" t="str">
        <f t="shared" si="16"/>
        <v/>
      </c>
      <c r="C222" t="str">
        <f t="shared" si="17"/>
        <v/>
      </c>
      <c r="E222" t="str">
        <f>IFERROR(VLOOKUP(D222,Cadastro!$B$4:$H$100,2,FALSE),"")</f>
        <v/>
      </c>
      <c r="F222" t="str">
        <f>IFERROR(VLOOKUP(D222,Cadastro!$B$4:$H$100,3,FALSE),"")</f>
        <v/>
      </c>
      <c r="J222" s="7"/>
      <c r="K222" s="7"/>
      <c r="L222" s="7"/>
      <c r="M222" s="7"/>
      <c r="N222" s="7"/>
      <c r="O222" s="7"/>
      <c r="P222" s="8">
        <f t="shared" si="18"/>
        <v>0</v>
      </c>
      <c r="Q222" s="8">
        <f t="shared" si="19"/>
        <v>0</v>
      </c>
      <c r="R222" s="8">
        <f t="shared" si="20"/>
        <v>0</v>
      </c>
    </row>
    <row r="223" spans="1:18">
      <c r="A223" s="6"/>
      <c r="B223" t="str">
        <f t="shared" si="16"/>
        <v/>
      </c>
      <c r="C223" t="str">
        <f t="shared" si="17"/>
        <v/>
      </c>
      <c r="E223" t="str">
        <f>IFERROR(VLOOKUP(D223,Cadastro!$B$4:$H$100,2,FALSE),"")</f>
        <v/>
      </c>
      <c r="F223" t="str">
        <f>IFERROR(VLOOKUP(D223,Cadastro!$B$4:$H$100,3,FALSE),"")</f>
        <v/>
      </c>
      <c r="J223" s="7"/>
      <c r="K223" s="7"/>
      <c r="L223" s="7"/>
      <c r="M223" s="7"/>
      <c r="N223" s="7"/>
      <c r="O223" s="7"/>
      <c r="P223" s="8">
        <f t="shared" si="18"/>
        <v>0</v>
      </c>
      <c r="Q223" s="8">
        <f t="shared" si="19"/>
        <v>0</v>
      </c>
      <c r="R223" s="8">
        <f t="shared" si="20"/>
        <v>0</v>
      </c>
    </row>
    <row r="224" spans="1:18">
      <c r="A224" s="6"/>
      <c r="B224" t="str">
        <f t="shared" si="16"/>
        <v/>
      </c>
      <c r="C224" t="str">
        <f t="shared" si="17"/>
        <v/>
      </c>
      <c r="E224" t="str">
        <f>IFERROR(VLOOKUP(D224,Cadastro!$B$4:$H$100,2,FALSE),"")</f>
        <v/>
      </c>
      <c r="F224" t="str">
        <f>IFERROR(VLOOKUP(D224,Cadastro!$B$4:$H$100,3,FALSE),"")</f>
        <v/>
      </c>
      <c r="J224" s="7"/>
      <c r="K224" s="7"/>
      <c r="L224" s="7"/>
      <c r="M224" s="7"/>
      <c r="N224" s="7"/>
      <c r="O224" s="7"/>
      <c r="P224" s="8">
        <f t="shared" si="18"/>
        <v>0</v>
      </c>
      <c r="Q224" s="8">
        <f t="shared" si="19"/>
        <v>0</v>
      </c>
      <c r="R224" s="8">
        <f t="shared" si="20"/>
        <v>0</v>
      </c>
    </row>
    <row r="225" spans="1:18">
      <c r="A225" s="6"/>
      <c r="B225" t="str">
        <f t="shared" si="16"/>
        <v/>
      </c>
      <c r="C225" t="str">
        <f t="shared" si="17"/>
        <v/>
      </c>
      <c r="E225" t="str">
        <f>IFERROR(VLOOKUP(D225,Cadastro!$B$4:$H$100,2,FALSE),"")</f>
        <v/>
      </c>
      <c r="F225" t="str">
        <f>IFERROR(VLOOKUP(D225,Cadastro!$B$4:$H$100,3,FALSE),"")</f>
        <v/>
      </c>
      <c r="J225" s="7"/>
      <c r="K225" s="7"/>
      <c r="L225" s="7"/>
      <c r="M225" s="7"/>
      <c r="N225" s="7"/>
      <c r="O225" s="7"/>
      <c r="P225" s="8">
        <f t="shared" si="18"/>
        <v>0</v>
      </c>
      <c r="Q225" s="8">
        <f t="shared" si="19"/>
        <v>0</v>
      </c>
      <c r="R225" s="8">
        <f t="shared" si="20"/>
        <v>0</v>
      </c>
    </row>
    <row r="226" spans="1:18">
      <c r="A226" s="6"/>
      <c r="B226" t="str">
        <f t="shared" si="16"/>
        <v/>
      </c>
      <c r="C226" t="str">
        <f t="shared" si="17"/>
        <v/>
      </c>
      <c r="E226" t="str">
        <f>IFERROR(VLOOKUP(D226,Cadastro!$B$4:$H$100,2,FALSE),"")</f>
        <v/>
      </c>
      <c r="F226" t="str">
        <f>IFERROR(VLOOKUP(D226,Cadastro!$B$4:$H$100,3,FALSE),"")</f>
        <v/>
      </c>
      <c r="J226" s="7"/>
      <c r="K226" s="7"/>
      <c r="L226" s="7"/>
      <c r="M226" s="7"/>
      <c r="N226" s="7"/>
      <c r="O226" s="7"/>
      <c r="P226" s="8">
        <f t="shared" si="18"/>
        <v>0</v>
      </c>
      <c r="Q226" s="8">
        <f t="shared" si="19"/>
        <v>0</v>
      </c>
      <c r="R226" s="8">
        <f t="shared" si="20"/>
        <v>0</v>
      </c>
    </row>
    <row r="227" spans="1:18">
      <c r="A227" s="6"/>
      <c r="B227" t="str">
        <f t="shared" si="16"/>
        <v/>
      </c>
      <c r="C227" t="str">
        <f t="shared" si="17"/>
        <v/>
      </c>
      <c r="E227" t="str">
        <f>IFERROR(VLOOKUP(D227,Cadastro!$B$4:$H$100,2,FALSE),"")</f>
        <v/>
      </c>
      <c r="F227" t="str">
        <f>IFERROR(VLOOKUP(D227,Cadastro!$B$4:$H$100,3,FALSE),"")</f>
        <v/>
      </c>
      <c r="J227" s="7"/>
      <c r="K227" s="7"/>
      <c r="L227" s="7"/>
      <c r="M227" s="7"/>
      <c r="N227" s="7"/>
      <c r="O227" s="7"/>
      <c r="P227" s="8">
        <f t="shared" si="18"/>
        <v>0</v>
      </c>
      <c r="Q227" s="8">
        <f t="shared" si="19"/>
        <v>0</v>
      </c>
      <c r="R227" s="8">
        <f t="shared" si="20"/>
        <v>0</v>
      </c>
    </row>
    <row r="228" spans="1:18">
      <c r="A228" s="6"/>
      <c r="B228" t="str">
        <f t="shared" si="16"/>
        <v/>
      </c>
      <c r="C228" t="str">
        <f t="shared" si="17"/>
        <v/>
      </c>
      <c r="E228" t="str">
        <f>IFERROR(VLOOKUP(D228,Cadastro!$B$4:$H$100,2,FALSE),"")</f>
        <v/>
      </c>
      <c r="F228" t="str">
        <f>IFERROR(VLOOKUP(D228,Cadastro!$B$4:$H$100,3,FALSE),"")</f>
        <v/>
      </c>
      <c r="J228" s="7"/>
      <c r="K228" s="7"/>
      <c r="L228" s="7"/>
      <c r="M228" s="7"/>
      <c r="N228" s="7"/>
      <c r="O228" s="7"/>
      <c r="P228" s="8">
        <f t="shared" si="18"/>
        <v>0</v>
      </c>
      <c r="Q228" s="8">
        <f t="shared" si="19"/>
        <v>0</v>
      </c>
      <c r="R228" s="8">
        <f t="shared" si="20"/>
        <v>0</v>
      </c>
    </row>
    <row r="229" spans="1:18">
      <c r="A229" s="6"/>
      <c r="B229" t="str">
        <f t="shared" si="16"/>
        <v/>
      </c>
      <c r="C229" t="str">
        <f t="shared" si="17"/>
        <v/>
      </c>
      <c r="E229" t="str">
        <f>IFERROR(VLOOKUP(D229,Cadastro!$B$4:$H$100,2,FALSE),"")</f>
        <v/>
      </c>
      <c r="F229" t="str">
        <f>IFERROR(VLOOKUP(D229,Cadastro!$B$4:$H$100,3,FALSE),"")</f>
        <v/>
      </c>
      <c r="J229" s="7"/>
      <c r="K229" s="7"/>
      <c r="L229" s="7"/>
      <c r="M229" s="7"/>
      <c r="N229" s="7"/>
      <c r="O229" s="7"/>
      <c r="P229" s="8">
        <f t="shared" si="18"/>
        <v>0</v>
      </c>
      <c r="Q229" s="8">
        <f t="shared" si="19"/>
        <v>0</v>
      </c>
      <c r="R229" s="8">
        <f t="shared" si="20"/>
        <v>0</v>
      </c>
    </row>
    <row r="230" spans="1:18">
      <c r="A230" s="6"/>
      <c r="B230" t="str">
        <f t="shared" si="16"/>
        <v/>
      </c>
      <c r="C230" t="str">
        <f t="shared" si="17"/>
        <v/>
      </c>
      <c r="E230" t="str">
        <f>IFERROR(VLOOKUP(D230,Cadastro!$B$4:$H$100,2,FALSE),"")</f>
        <v/>
      </c>
      <c r="F230" t="str">
        <f>IFERROR(VLOOKUP(D230,Cadastro!$B$4:$H$100,3,FALSE),"")</f>
        <v/>
      </c>
      <c r="J230" s="7"/>
      <c r="K230" s="7"/>
      <c r="L230" s="7"/>
      <c r="M230" s="7"/>
      <c r="N230" s="7"/>
      <c r="O230" s="7"/>
      <c r="P230" s="8">
        <f t="shared" si="18"/>
        <v>0</v>
      </c>
      <c r="Q230" s="8">
        <f t="shared" si="19"/>
        <v>0</v>
      </c>
      <c r="R230" s="8">
        <f t="shared" si="20"/>
        <v>0</v>
      </c>
    </row>
    <row r="231" spans="1:18">
      <c r="A231" s="6"/>
      <c r="B231" t="str">
        <f t="shared" si="16"/>
        <v/>
      </c>
      <c r="C231" t="str">
        <f t="shared" si="17"/>
        <v/>
      </c>
      <c r="E231" t="str">
        <f>IFERROR(VLOOKUP(D231,Cadastro!$B$4:$H$100,2,FALSE),"")</f>
        <v/>
      </c>
      <c r="F231" t="str">
        <f>IFERROR(VLOOKUP(D231,Cadastro!$B$4:$H$100,3,FALSE),"")</f>
        <v/>
      </c>
      <c r="J231" s="7"/>
      <c r="K231" s="7"/>
      <c r="L231" s="7"/>
      <c r="M231" s="7"/>
      <c r="N231" s="7"/>
      <c r="O231" s="7"/>
      <c r="P231" s="8">
        <f t="shared" si="18"/>
        <v>0</v>
      </c>
      <c r="Q231" s="8">
        <f t="shared" si="19"/>
        <v>0</v>
      </c>
      <c r="R231" s="8">
        <f t="shared" si="20"/>
        <v>0</v>
      </c>
    </row>
    <row r="232" spans="1:18">
      <c r="A232" s="6"/>
      <c r="B232" t="str">
        <f t="shared" si="16"/>
        <v/>
      </c>
      <c r="C232" t="str">
        <f t="shared" si="17"/>
        <v/>
      </c>
      <c r="E232" t="str">
        <f>IFERROR(VLOOKUP(D232,Cadastro!$B$4:$H$100,2,FALSE),"")</f>
        <v/>
      </c>
      <c r="F232" t="str">
        <f>IFERROR(VLOOKUP(D232,Cadastro!$B$4:$H$100,3,FALSE),"")</f>
        <v/>
      </c>
      <c r="J232" s="7"/>
      <c r="K232" s="7"/>
      <c r="L232" s="7"/>
      <c r="M232" s="7"/>
      <c r="N232" s="7"/>
      <c r="O232" s="7"/>
      <c r="P232" s="8">
        <f t="shared" si="18"/>
        <v>0</v>
      </c>
      <c r="Q232" s="8">
        <f t="shared" si="19"/>
        <v>0</v>
      </c>
      <c r="R232" s="8">
        <f t="shared" si="20"/>
        <v>0</v>
      </c>
    </row>
    <row r="233" spans="1:18">
      <c r="A233" s="6"/>
      <c r="B233" t="str">
        <f t="shared" si="16"/>
        <v/>
      </c>
      <c r="C233" t="str">
        <f t="shared" si="17"/>
        <v/>
      </c>
      <c r="E233" t="str">
        <f>IFERROR(VLOOKUP(D233,Cadastro!$B$4:$H$100,2,FALSE),"")</f>
        <v/>
      </c>
      <c r="F233" t="str">
        <f>IFERROR(VLOOKUP(D233,Cadastro!$B$4:$H$100,3,FALSE),"")</f>
        <v/>
      </c>
      <c r="J233" s="7"/>
      <c r="K233" s="7"/>
      <c r="L233" s="7"/>
      <c r="M233" s="7"/>
      <c r="N233" s="7"/>
      <c r="O233" s="7"/>
      <c r="P233" s="8">
        <f t="shared" si="18"/>
        <v>0</v>
      </c>
      <c r="Q233" s="8">
        <f t="shared" si="19"/>
        <v>0</v>
      </c>
      <c r="R233" s="8">
        <f t="shared" si="20"/>
        <v>0</v>
      </c>
    </row>
    <row r="234" spans="1:18">
      <c r="A234" s="6"/>
      <c r="B234" t="str">
        <f t="shared" si="16"/>
        <v/>
      </c>
      <c r="C234" t="str">
        <f t="shared" si="17"/>
        <v/>
      </c>
      <c r="E234" t="str">
        <f>IFERROR(VLOOKUP(D234,Cadastro!$B$4:$H$100,2,FALSE),"")</f>
        <v/>
      </c>
      <c r="F234" t="str">
        <f>IFERROR(VLOOKUP(D234,Cadastro!$B$4:$H$100,3,FALSE),"")</f>
        <v/>
      </c>
      <c r="J234" s="7"/>
      <c r="K234" s="7"/>
      <c r="L234" s="7"/>
      <c r="M234" s="7"/>
      <c r="N234" s="7"/>
      <c r="O234" s="7"/>
      <c r="P234" s="8">
        <f t="shared" si="18"/>
        <v>0</v>
      </c>
      <c r="Q234" s="8">
        <f t="shared" si="19"/>
        <v>0</v>
      </c>
      <c r="R234" s="8">
        <f t="shared" si="20"/>
        <v>0</v>
      </c>
    </row>
    <row r="235" spans="1:18">
      <c r="A235" s="6"/>
      <c r="B235" t="str">
        <f t="shared" si="16"/>
        <v/>
      </c>
      <c r="C235" t="str">
        <f t="shared" si="17"/>
        <v/>
      </c>
      <c r="E235" t="str">
        <f>IFERROR(VLOOKUP(D235,Cadastro!$B$4:$H$100,2,FALSE),"")</f>
        <v/>
      </c>
      <c r="F235" t="str">
        <f>IFERROR(VLOOKUP(D235,Cadastro!$B$4:$H$100,3,FALSE),"")</f>
        <v/>
      </c>
      <c r="J235" s="7"/>
      <c r="K235" s="7"/>
      <c r="L235" s="7"/>
      <c r="M235" s="7"/>
      <c r="N235" s="7"/>
      <c r="O235" s="7"/>
      <c r="P235" s="8">
        <f t="shared" si="18"/>
        <v>0</v>
      </c>
      <c r="Q235" s="8">
        <f t="shared" si="19"/>
        <v>0</v>
      </c>
      <c r="R235" s="8">
        <f t="shared" si="20"/>
        <v>0</v>
      </c>
    </row>
    <row r="236" spans="1:18">
      <c r="A236" s="6"/>
      <c r="B236" t="str">
        <f t="shared" si="16"/>
        <v/>
      </c>
      <c r="C236" t="str">
        <f t="shared" si="17"/>
        <v/>
      </c>
      <c r="E236" t="str">
        <f>IFERROR(VLOOKUP(D236,Cadastro!$B$4:$H$100,2,FALSE),"")</f>
        <v/>
      </c>
      <c r="F236" t="str">
        <f>IFERROR(VLOOKUP(D236,Cadastro!$B$4:$H$100,3,FALSE),"")</f>
        <v/>
      </c>
      <c r="J236" s="7"/>
      <c r="K236" s="7"/>
      <c r="L236" s="7"/>
      <c r="M236" s="7"/>
      <c r="N236" s="7"/>
      <c r="O236" s="7"/>
      <c r="P236" s="8">
        <f t="shared" si="18"/>
        <v>0</v>
      </c>
      <c r="Q236" s="8">
        <f t="shared" si="19"/>
        <v>0</v>
      </c>
      <c r="R236" s="8">
        <f t="shared" si="20"/>
        <v>0</v>
      </c>
    </row>
    <row r="237" spans="1:18">
      <c r="A237" s="6"/>
      <c r="B237" t="str">
        <f t="shared" si="16"/>
        <v/>
      </c>
      <c r="C237" t="str">
        <f t="shared" si="17"/>
        <v/>
      </c>
      <c r="E237" t="str">
        <f>IFERROR(VLOOKUP(D237,Cadastro!$B$4:$H$100,2,FALSE),"")</f>
        <v/>
      </c>
      <c r="F237" t="str">
        <f>IFERROR(VLOOKUP(D237,Cadastro!$B$4:$H$100,3,FALSE),"")</f>
        <v/>
      </c>
      <c r="J237" s="7"/>
      <c r="K237" s="7"/>
      <c r="L237" s="7"/>
      <c r="M237" s="7"/>
      <c r="N237" s="7"/>
      <c r="O237" s="7"/>
      <c r="P237" s="8">
        <f t="shared" si="18"/>
        <v>0</v>
      </c>
      <c r="Q237" s="8">
        <f t="shared" si="19"/>
        <v>0</v>
      </c>
      <c r="R237" s="8">
        <f t="shared" si="20"/>
        <v>0</v>
      </c>
    </row>
    <row r="238" spans="1:18">
      <c r="A238" s="6"/>
      <c r="B238" t="str">
        <f t="shared" si="16"/>
        <v/>
      </c>
      <c r="C238" t="str">
        <f t="shared" si="17"/>
        <v/>
      </c>
      <c r="E238" t="str">
        <f>IFERROR(VLOOKUP(D238,Cadastro!$B$4:$H$100,2,FALSE),"")</f>
        <v/>
      </c>
      <c r="F238" t="str">
        <f>IFERROR(VLOOKUP(D238,Cadastro!$B$4:$H$100,3,FALSE),"")</f>
        <v/>
      </c>
      <c r="J238" s="7"/>
      <c r="K238" s="7"/>
      <c r="L238" s="7"/>
      <c r="M238" s="7"/>
      <c r="N238" s="7"/>
      <c r="O238" s="7"/>
      <c r="P238" s="8">
        <f t="shared" si="18"/>
        <v>0</v>
      </c>
      <c r="Q238" s="8">
        <f t="shared" si="19"/>
        <v>0</v>
      </c>
      <c r="R238" s="8">
        <f t="shared" si="20"/>
        <v>0</v>
      </c>
    </row>
    <row r="239" spans="1:18">
      <c r="A239" s="6"/>
      <c r="B239" t="str">
        <f t="shared" si="16"/>
        <v/>
      </c>
      <c r="C239" t="str">
        <f t="shared" si="17"/>
        <v/>
      </c>
      <c r="E239" t="str">
        <f>IFERROR(VLOOKUP(D239,Cadastro!$B$4:$H$100,2,FALSE),"")</f>
        <v/>
      </c>
      <c r="F239" t="str">
        <f>IFERROR(VLOOKUP(D239,Cadastro!$B$4:$H$100,3,FALSE),"")</f>
        <v/>
      </c>
      <c r="J239" s="7"/>
      <c r="K239" s="7"/>
      <c r="L239" s="7"/>
      <c r="M239" s="7"/>
      <c r="N239" s="7"/>
      <c r="O239" s="7"/>
      <c r="P239" s="8">
        <f t="shared" si="18"/>
        <v>0</v>
      </c>
      <c r="Q239" s="8">
        <f t="shared" si="19"/>
        <v>0</v>
      </c>
      <c r="R239" s="8">
        <f t="shared" si="20"/>
        <v>0</v>
      </c>
    </row>
    <row r="240" spans="1:18">
      <c r="A240" s="6"/>
      <c r="B240" t="str">
        <f t="shared" si="16"/>
        <v/>
      </c>
      <c r="C240" t="str">
        <f t="shared" si="17"/>
        <v/>
      </c>
      <c r="E240" t="str">
        <f>IFERROR(VLOOKUP(D240,Cadastro!$B$4:$H$100,2,FALSE),"")</f>
        <v/>
      </c>
      <c r="F240" t="str">
        <f>IFERROR(VLOOKUP(D240,Cadastro!$B$4:$H$100,3,FALSE),"")</f>
        <v/>
      </c>
      <c r="J240" s="7"/>
      <c r="K240" s="7"/>
      <c r="L240" s="7"/>
      <c r="M240" s="7"/>
      <c r="N240" s="7"/>
      <c r="O240" s="7"/>
      <c r="P240" s="8">
        <f t="shared" si="18"/>
        <v>0</v>
      </c>
      <c r="Q240" s="8">
        <f t="shared" si="19"/>
        <v>0</v>
      </c>
      <c r="R240" s="8">
        <f t="shared" si="20"/>
        <v>0</v>
      </c>
    </row>
    <row r="241" spans="1:18">
      <c r="A241" s="6"/>
      <c r="B241" t="str">
        <f t="shared" si="16"/>
        <v/>
      </c>
      <c r="C241" t="str">
        <f t="shared" si="17"/>
        <v/>
      </c>
      <c r="E241" t="str">
        <f>IFERROR(VLOOKUP(D241,Cadastro!$B$4:$H$100,2,FALSE),"")</f>
        <v/>
      </c>
      <c r="F241" t="str">
        <f>IFERROR(VLOOKUP(D241,Cadastro!$B$4:$H$100,3,FALSE),"")</f>
        <v/>
      </c>
      <c r="J241" s="7"/>
      <c r="K241" s="7"/>
      <c r="L241" s="7"/>
      <c r="M241" s="7"/>
      <c r="N241" s="7"/>
      <c r="O241" s="7"/>
      <c r="P241" s="8">
        <f t="shared" si="18"/>
        <v>0</v>
      </c>
      <c r="Q241" s="8">
        <f t="shared" si="19"/>
        <v>0</v>
      </c>
      <c r="R241" s="8">
        <f t="shared" si="20"/>
        <v>0</v>
      </c>
    </row>
    <row r="242" spans="1:18">
      <c r="A242" s="6"/>
      <c r="B242" t="str">
        <f t="shared" si="16"/>
        <v/>
      </c>
      <c r="C242" t="str">
        <f t="shared" si="17"/>
        <v/>
      </c>
      <c r="E242" t="str">
        <f>IFERROR(VLOOKUP(D242,Cadastro!$B$4:$H$100,2,FALSE),"")</f>
        <v/>
      </c>
      <c r="F242" t="str">
        <f>IFERROR(VLOOKUP(D242,Cadastro!$B$4:$H$100,3,FALSE),"")</f>
        <v/>
      </c>
      <c r="J242" s="7"/>
      <c r="K242" s="7"/>
      <c r="L242" s="7"/>
      <c r="M242" s="7"/>
      <c r="N242" s="7"/>
      <c r="O242" s="7"/>
      <c r="P242" s="8">
        <f t="shared" si="18"/>
        <v>0</v>
      </c>
      <c r="Q242" s="8">
        <f t="shared" si="19"/>
        <v>0</v>
      </c>
      <c r="R242" s="8">
        <f t="shared" si="20"/>
        <v>0</v>
      </c>
    </row>
    <row r="243" spans="1:18">
      <c r="A243" s="6"/>
      <c r="B243" t="str">
        <f t="shared" si="16"/>
        <v/>
      </c>
      <c r="C243" t="str">
        <f t="shared" si="17"/>
        <v/>
      </c>
      <c r="E243" t="str">
        <f>IFERROR(VLOOKUP(D243,Cadastro!$B$4:$H$100,2,FALSE),"")</f>
        <v/>
      </c>
      <c r="F243" t="str">
        <f>IFERROR(VLOOKUP(D243,Cadastro!$B$4:$H$100,3,FALSE),"")</f>
        <v/>
      </c>
      <c r="J243" s="7"/>
      <c r="K243" s="7"/>
      <c r="L243" s="7"/>
      <c r="M243" s="7"/>
      <c r="N243" s="7"/>
      <c r="O243" s="7"/>
      <c r="P243" s="8">
        <f t="shared" si="18"/>
        <v>0</v>
      </c>
      <c r="Q243" s="8">
        <f t="shared" si="19"/>
        <v>0</v>
      </c>
      <c r="R243" s="8">
        <f t="shared" si="20"/>
        <v>0</v>
      </c>
    </row>
    <row r="244" spans="1:18">
      <c r="A244" s="6"/>
      <c r="B244" t="str">
        <f t="shared" si="16"/>
        <v/>
      </c>
      <c r="C244" t="str">
        <f t="shared" si="17"/>
        <v/>
      </c>
      <c r="E244" t="str">
        <f>IFERROR(VLOOKUP(D244,Cadastro!$B$4:$H$100,2,FALSE),"")</f>
        <v/>
      </c>
      <c r="F244" t="str">
        <f>IFERROR(VLOOKUP(D244,Cadastro!$B$4:$H$100,3,FALSE),"")</f>
        <v/>
      </c>
      <c r="J244" s="7"/>
      <c r="K244" s="7"/>
      <c r="L244" s="7"/>
      <c r="M244" s="7"/>
      <c r="N244" s="7"/>
      <c r="O244" s="7"/>
      <c r="P244" s="8">
        <f t="shared" si="18"/>
        <v>0</v>
      </c>
      <c r="Q244" s="8">
        <f t="shared" si="19"/>
        <v>0</v>
      </c>
      <c r="R244" s="8">
        <f t="shared" si="20"/>
        <v>0</v>
      </c>
    </row>
    <row r="245" spans="1:18">
      <c r="A245" s="6"/>
      <c r="B245" t="str">
        <f t="shared" si="16"/>
        <v/>
      </c>
      <c r="C245" t="str">
        <f t="shared" si="17"/>
        <v/>
      </c>
      <c r="E245" t="str">
        <f>IFERROR(VLOOKUP(D245,Cadastro!$B$4:$H$100,2,FALSE),"")</f>
        <v/>
      </c>
      <c r="F245" t="str">
        <f>IFERROR(VLOOKUP(D245,Cadastro!$B$4:$H$100,3,FALSE),"")</f>
        <v/>
      </c>
      <c r="J245" s="7"/>
      <c r="K245" s="7"/>
      <c r="L245" s="7"/>
      <c r="M245" s="7"/>
      <c r="N245" s="7"/>
      <c r="O245" s="7"/>
      <c r="P245" s="8">
        <f t="shared" si="18"/>
        <v>0</v>
      </c>
      <c r="Q245" s="8">
        <f t="shared" si="19"/>
        <v>0</v>
      </c>
      <c r="R245" s="8">
        <f t="shared" si="20"/>
        <v>0</v>
      </c>
    </row>
    <row r="246" spans="1:18">
      <c r="A246" s="6"/>
      <c r="B246" t="str">
        <f t="shared" si="16"/>
        <v/>
      </c>
      <c r="C246" t="str">
        <f t="shared" si="17"/>
        <v/>
      </c>
      <c r="E246" t="str">
        <f>IFERROR(VLOOKUP(D246,Cadastro!$B$4:$H$100,2,FALSE),"")</f>
        <v/>
      </c>
      <c r="F246" t="str">
        <f>IFERROR(VLOOKUP(D246,Cadastro!$B$4:$H$100,3,FALSE),"")</f>
        <v/>
      </c>
      <c r="J246" s="7"/>
      <c r="K246" s="7"/>
      <c r="L246" s="7"/>
      <c r="M246" s="7"/>
      <c r="N246" s="7"/>
      <c r="O246" s="7"/>
      <c r="P246" s="8">
        <f t="shared" si="18"/>
        <v>0</v>
      </c>
      <c r="Q246" s="8">
        <f t="shared" si="19"/>
        <v>0</v>
      </c>
      <c r="R246" s="8">
        <f t="shared" si="20"/>
        <v>0</v>
      </c>
    </row>
    <row r="247" spans="1:18">
      <c r="A247" s="6"/>
      <c r="B247" t="str">
        <f t="shared" si="16"/>
        <v/>
      </c>
      <c r="C247" t="str">
        <f t="shared" si="17"/>
        <v/>
      </c>
      <c r="E247" t="str">
        <f>IFERROR(VLOOKUP(D247,Cadastro!$B$4:$H$100,2,FALSE),"")</f>
        <v/>
      </c>
      <c r="F247" t="str">
        <f>IFERROR(VLOOKUP(D247,Cadastro!$B$4:$H$100,3,FALSE),"")</f>
        <v/>
      </c>
      <c r="J247" s="7"/>
      <c r="K247" s="7"/>
      <c r="L247" s="7"/>
      <c r="M247" s="7"/>
      <c r="N247" s="7"/>
      <c r="O247" s="7"/>
      <c r="P247" s="8">
        <f t="shared" si="18"/>
        <v>0</v>
      </c>
      <c r="Q247" s="8">
        <f t="shared" si="19"/>
        <v>0</v>
      </c>
      <c r="R247" s="8">
        <f t="shared" si="20"/>
        <v>0</v>
      </c>
    </row>
    <row r="248" spans="1:18">
      <c r="A248" s="6"/>
      <c r="B248" t="str">
        <f t="shared" si="16"/>
        <v/>
      </c>
      <c r="C248" t="str">
        <f t="shared" si="17"/>
        <v/>
      </c>
      <c r="E248" t="str">
        <f>IFERROR(VLOOKUP(D248,Cadastro!$B$4:$H$100,2,FALSE),"")</f>
        <v/>
      </c>
      <c r="F248" t="str">
        <f>IFERROR(VLOOKUP(D248,Cadastro!$B$4:$H$100,3,FALSE),"")</f>
        <v/>
      </c>
      <c r="J248" s="7"/>
      <c r="K248" s="7"/>
      <c r="L248" s="7"/>
      <c r="M248" s="7"/>
      <c r="N248" s="7"/>
      <c r="O248" s="7"/>
      <c r="P248" s="8">
        <f t="shared" si="18"/>
        <v>0</v>
      </c>
      <c r="Q248" s="8">
        <f t="shared" si="19"/>
        <v>0</v>
      </c>
      <c r="R248" s="8">
        <f t="shared" si="20"/>
        <v>0</v>
      </c>
    </row>
    <row r="249" spans="1:18">
      <c r="A249" s="6"/>
      <c r="B249" t="str">
        <f t="shared" si="16"/>
        <v/>
      </c>
      <c r="C249" t="str">
        <f t="shared" si="17"/>
        <v/>
      </c>
      <c r="E249" t="str">
        <f>IFERROR(VLOOKUP(D249,Cadastro!$B$4:$H$100,2,FALSE),"")</f>
        <v/>
      </c>
      <c r="F249" t="str">
        <f>IFERROR(VLOOKUP(D249,Cadastro!$B$4:$H$100,3,FALSE),"")</f>
        <v/>
      </c>
      <c r="J249" s="7"/>
      <c r="K249" s="7"/>
      <c r="L249" s="7"/>
      <c r="M249" s="7"/>
      <c r="N249" s="7"/>
      <c r="O249" s="7"/>
      <c r="P249" s="8">
        <f t="shared" si="18"/>
        <v>0</v>
      </c>
      <c r="Q249" s="8">
        <f t="shared" si="19"/>
        <v>0</v>
      </c>
      <c r="R249" s="8">
        <f t="shared" si="20"/>
        <v>0</v>
      </c>
    </row>
    <row r="250" spans="1:18">
      <c r="A250" s="6"/>
      <c r="B250" t="str">
        <f t="shared" si="16"/>
        <v/>
      </c>
      <c r="C250" t="str">
        <f t="shared" si="17"/>
        <v/>
      </c>
      <c r="E250" t="str">
        <f>IFERROR(VLOOKUP(D250,Cadastro!$B$4:$H$100,2,FALSE),"")</f>
        <v/>
      </c>
      <c r="F250" t="str">
        <f>IFERROR(VLOOKUP(D250,Cadastro!$B$4:$H$100,3,FALSE),"")</f>
        <v/>
      </c>
      <c r="J250" s="7"/>
      <c r="K250" s="7"/>
      <c r="L250" s="7"/>
      <c r="M250" s="7"/>
      <c r="N250" s="7"/>
      <c r="O250" s="7"/>
      <c r="P250" s="8">
        <f t="shared" si="18"/>
        <v>0</v>
      </c>
      <c r="Q250" s="8">
        <f t="shared" si="19"/>
        <v>0</v>
      </c>
      <c r="R250" s="8">
        <f t="shared" si="20"/>
        <v>0</v>
      </c>
    </row>
    <row r="251" spans="1:18">
      <c r="A251" s="6"/>
      <c r="B251" t="str">
        <f t="shared" si="16"/>
        <v/>
      </c>
      <c r="C251" t="str">
        <f t="shared" si="17"/>
        <v/>
      </c>
      <c r="E251" t="str">
        <f>IFERROR(VLOOKUP(D251,Cadastro!$B$4:$H$100,2,FALSE),"")</f>
        <v/>
      </c>
      <c r="F251" t="str">
        <f>IFERROR(VLOOKUP(D251,Cadastro!$B$4:$H$100,3,FALSE),"")</f>
        <v/>
      </c>
      <c r="J251" s="7"/>
      <c r="K251" s="7"/>
      <c r="L251" s="7"/>
      <c r="M251" s="7"/>
      <c r="N251" s="7"/>
      <c r="O251" s="7"/>
      <c r="P251" s="8">
        <f t="shared" si="18"/>
        <v>0</v>
      </c>
      <c r="Q251" s="8">
        <f t="shared" si="19"/>
        <v>0</v>
      </c>
      <c r="R251" s="8">
        <f t="shared" si="20"/>
        <v>0</v>
      </c>
    </row>
    <row r="252" spans="1:18">
      <c r="A252" s="6"/>
      <c r="B252" t="str">
        <f t="shared" si="16"/>
        <v/>
      </c>
      <c r="C252" t="str">
        <f t="shared" si="17"/>
        <v/>
      </c>
      <c r="E252" t="str">
        <f>IFERROR(VLOOKUP(D252,Cadastro!$B$4:$H$100,2,FALSE),"")</f>
        <v/>
      </c>
      <c r="F252" t="str">
        <f>IFERROR(VLOOKUP(D252,Cadastro!$B$4:$H$100,3,FALSE),"")</f>
        <v/>
      </c>
      <c r="J252" s="7"/>
      <c r="K252" s="7"/>
      <c r="L252" s="7"/>
      <c r="M252" s="7"/>
      <c r="N252" s="7"/>
      <c r="O252" s="7"/>
      <c r="P252" s="8">
        <f t="shared" si="18"/>
        <v>0</v>
      </c>
      <c r="Q252" s="8">
        <f t="shared" si="19"/>
        <v>0</v>
      </c>
      <c r="R252" s="8">
        <f t="shared" si="20"/>
        <v>0</v>
      </c>
    </row>
    <row r="253" spans="1:18">
      <c r="A253" s="6"/>
      <c r="B253" t="str">
        <f t="shared" si="16"/>
        <v/>
      </c>
      <c r="C253" t="str">
        <f t="shared" si="17"/>
        <v/>
      </c>
      <c r="E253" t="str">
        <f>IFERROR(VLOOKUP(D253,Cadastro!$B$4:$H$100,2,FALSE),"")</f>
        <v/>
      </c>
      <c r="F253" t="str">
        <f>IFERROR(VLOOKUP(D253,Cadastro!$B$4:$H$100,3,FALSE),"")</f>
        <v/>
      </c>
      <c r="J253" s="7"/>
      <c r="K253" s="7"/>
      <c r="L253" s="7"/>
      <c r="M253" s="7"/>
      <c r="N253" s="7"/>
      <c r="O253" s="7"/>
      <c r="P253" s="8">
        <f t="shared" si="18"/>
        <v>0</v>
      </c>
      <c r="Q253" s="8">
        <f t="shared" si="19"/>
        <v>0</v>
      </c>
      <c r="R253" s="8">
        <f t="shared" si="20"/>
        <v>0</v>
      </c>
    </row>
    <row r="254" spans="1:18">
      <c r="A254" s="6"/>
      <c r="B254" t="str">
        <f t="shared" si="16"/>
        <v/>
      </c>
      <c r="C254" t="str">
        <f t="shared" si="17"/>
        <v/>
      </c>
      <c r="E254" t="str">
        <f>IFERROR(VLOOKUP(D254,Cadastro!$B$4:$H$100,2,FALSE),"")</f>
        <v/>
      </c>
      <c r="F254" t="str">
        <f>IFERROR(VLOOKUP(D254,Cadastro!$B$4:$H$100,3,FALSE),"")</f>
        <v/>
      </c>
      <c r="J254" s="7"/>
      <c r="K254" s="7"/>
      <c r="L254" s="7"/>
      <c r="M254" s="7"/>
      <c r="N254" s="7"/>
      <c r="O254" s="7"/>
      <c r="P254" s="8">
        <f t="shared" si="18"/>
        <v>0</v>
      </c>
      <c r="Q254" s="8">
        <f t="shared" si="19"/>
        <v>0</v>
      </c>
      <c r="R254" s="8">
        <f t="shared" si="20"/>
        <v>0</v>
      </c>
    </row>
    <row r="255" spans="1:18">
      <c r="A255" s="6"/>
      <c r="B255" t="str">
        <f t="shared" si="16"/>
        <v/>
      </c>
      <c r="C255" t="str">
        <f t="shared" si="17"/>
        <v/>
      </c>
      <c r="E255" t="str">
        <f>IFERROR(VLOOKUP(D255,Cadastro!$B$4:$H$100,2,FALSE),"")</f>
        <v/>
      </c>
      <c r="F255" t="str">
        <f>IFERROR(VLOOKUP(D255,Cadastro!$B$4:$H$100,3,FALSE),"")</f>
        <v/>
      </c>
      <c r="J255" s="7"/>
      <c r="K255" s="7"/>
      <c r="L255" s="7"/>
      <c r="M255" s="7"/>
      <c r="N255" s="7"/>
      <c r="O255" s="7"/>
      <c r="P255" s="8">
        <f t="shared" si="18"/>
        <v>0</v>
      </c>
      <c r="Q255" s="8">
        <f t="shared" si="19"/>
        <v>0</v>
      </c>
      <c r="R255" s="8">
        <f t="shared" si="20"/>
        <v>0</v>
      </c>
    </row>
    <row r="256" spans="1:18">
      <c r="A256" s="6"/>
      <c r="B256" t="str">
        <f t="shared" si="16"/>
        <v/>
      </c>
      <c r="C256" t="str">
        <f t="shared" si="17"/>
        <v/>
      </c>
      <c r="E256" t="str">
        <f>IFERROR(VLOOKUP(D256,Cadastro!$B$4:$H$100,2,FALSE),"")</f>
        <v/>
      </c>
      <c r="F256" t="str">
        <f>IFERROR(VLOOKUP(D256,Cadastro!$B$4:$H$100,3,FALSE),"")</f>
        <v/>
      </c>
      <c r="J256" s="7"/>
      <c r="K256" s="7"/>
      <c r="L256" s="7"/>
      <c r="M256" s="7"/>
      <c r="N256" s="7"/>
      <c r="O256" s="7"/>
      <c r="P256" s="8">
        <f t="shared" si="18"/>
        <v>0</v>
      </c>
      <c r="Q256" s="8">
        <f t="shared" si="19"/>
        <v>0</v>
      </c>
      <c r="R256" s="8">
        <f t="shared" si="20"/>
        <v>0</v>
      </c>
    </row>
    <row r="257" spans="1:18">
      <c r="A257" s="6"/>
      <c r="B257" t="str">
        <f t="shared" si="16"/>
        <v/>
      </c>
      <c r="C257" t="str">
        <f t="shared" si="17"/>
        <v/>
      </c>
      <c r="E257" t="str">
        <f>IFERROR(VLOOKUP(D257,Cadastro!$B$4:$H$100,2,FALSE),"")</f>
        <v/>
      </c>
      <c r="F257" t="str">
        <f>IFERROR(VLOOKUP(D257,Cadastro!$B$4:$H$100,3,FALSE),"")</f>
        <v/>
      </c>
      <c r="J257" s="7"/>
      <c r="K257" s="7"/>
      <c r="L257" s="7"/>
      <c r="M257" s="7"/>
      <c r="N257" s="7"/>
      <c r="O257" s="7"/>
      <c r="P257" s="8">
        <f t="shared" si="18"/>
        <v>0</v>
      </c>
      <c r="Q257" s="8">
        <f t="shared" si="19"/>
        <v>0</v>
      </c>
      <c r="R257" s="8">
        <f t="shared" si="20"/>
        <v>0</v>
      </c>
    </row>
    <row r="258" spans="1:18">
      <c r="A258" s="6"/>
      <c r="B258" t="str">
        <f t="shared" si="16"/>
        <v/>
      </c>
      <c r="C258" t="str">
        <f t="shared" si="17"/>
        <v/>
      </c>
      <c r="E258" t="str">
        <f>IFERROR(VLOOKUP(D258,Cadastro!$B$4:$H$100,2,FALSE),"")</f>
        <v/>
      </c>
      <c r="F258" t="str">
        <f>IFERROR(VLOOKUP(D258,Cadastro!$B$4:$H$100,3,FALSE),"")</f>
        <v/>
      </c>
      <c r="J258" s="7"/>
      <c r="K258" s="7"/>
      <c r="L258" s="7"/>
      <c r="M258" s="7"/>
      <c r="N258" s="7"/>
      <c r="O258" s="7"/>
      <c r="P258" s="8">
        <f t="shared" si="18"/>
        <v>0</v>
      </c>
      <c r="Q258" s="8">
        <f t="shared" si="19"/>
        <v>0</v>
      </c>
      <c r="R258" s="8">
        <f t="shared" si="20"/>
        <v>0</v>
      </c>
    </row>
    <row r="259" spans="1:18">
      <c r="A259" s="6"/>
      <c r="B259" t="str">
        <f t="shared" si="16"/>
        <v/>
      </c>
      <c r="C259" t="str">
        <f t="shared" si="17"/>
        <v/>
      </c>
      <c r="E259" t="str">
        <f>IFERROR(VLOOKUP(D259,Cadastro!$B$4:$H$100,2,FALSE),"")</f>
        <v/>
      </c>
      <c r="F259" t="str">
        <f>IFERROR(VLOOKUP(D259,Cadastro!$B$4:$H$100,3,FALSE),"")</f>
        <v/>
      </c>
      <c r="J259" s="7"/>
      <c r="K259" s="7"/>
      <c r="L259" s="7"/>
      <c r="M259" s="7"/>
      <c r="N259" s="7"/>
      <c r="O259" s="7"/>
      <c r="P259" s="8">
        <f t="shared" si="18"/>
        <v>0</v>
      </c>
      <c r="Q259" s="8">
        <f t="shared" si="19"/>
        <v>0</v>
      </c>
      <c r="R259" s="8">
        <f t="shared" si="20"/>
        <v>0</v>
      </c>
    </row>
    <row r="260" spans="1:18">
      <c r="A260" s="6"/>
      <c r="B260" t="str">
        <f t="shared" ref="B260:B323" si="21">IF(A260="","",YEAR(A260))</f>
        <v/>
      </c>
      <c r="C260" t="str">
        <f t="shared" ref="C260:C323" si="22">IF(A260="","",TEXT(A260,"mmmm"))</f>
        <v/>
      </c>
      <c r="E260" t="str">
        <f>IFERROR(VLOOKUP(D260,Cadastro!$B$4:$H$100,2,FALSE),"")</f>
        <v/>
      </c>
      <c r="F260" t="str">
        <f>IFERROR(VLOOKUP(D260,Cadastro!$B$4:$H$100,3,FALSE),"")</f>
        <v/>
      </c>
      <c r="J260" s="7"/>
      <c r="K260" s="7"/>
      <c r="L260" s="7"/>
      <c r="M260" s="7"/>
      <c r="N260" s="7"/>
      <c r="O260" s="7"/>
      <c r="P260" s="8">
        <f t="shared" ref="P260:P323" si="23">IF(OR(J260="",K260=""),0,(K260-J260)*24)+IF(OR(L260="",M260=""),0,(M260-L260)*24)+IF(OR(N260="",O260=""),0,(O260-N260)*24)</f>
        <v>0</v>
      </c>
      <c r="Q260" s="8">
        <f t="shared" ref="Q260:Q323" si="24">IF(OR(I260="Prática",I260="Teórico-prática"),P260,0)</f>
        <v>0</v>
      </c>
      <c r="R260" s="8">
        <f t="shared" ref="R260:R323" si="25">IF(OR(I260="Teórica",I260="Teórico-prática"),P260,0)</f>
        <v>0</v>
      </c>
    </row>
    <row r="261" spans="1:18">
      <c r="A261" s="6"/>
      <c r="B261" t="str">
        <f t="shared" si="21"/>
        <v/>
      </c>
      <c r="C261" t="str">
        <f t="shared" si="22"/>
        <v/>
      </c>
      <c r="E261" t="str">
        <f>IFERROR(VLOOKUP(D261,Cadastro!$B$4:$H$100,2,FALSE),"")</f>
        <v/>
      </c>
      <c r="F261" t="str">
        <f>IFERROR(VLOOKUP(D261,Cadastro!$B$4:$H$100,3,FALSE),"")</f>
        <v/>
      </c>
      <c r="J261" s="7"/>
      <c r="K261" s="7"/>
      <c r="L261" s="7"/>
      <c r="M261" s="7"/>
      <c r="N261" s="7"/>
      <c r="O261" s="7"/>
      <c r="P261" s="8">
        <f t="shared" si="23"/>
        <v>0</v>
      </c>
      <c r="Q261" s="8">
        <f t="shared" si="24"/>
        <v>0</v>
      </c>
      <c r="R261" s="8">
        <f t="shared" si="25"/>
        <v>0</v>
      </c>
    </row>
    <row r="262" spans="1:18">
      <c r="A262" s="6"/>
      <c r="B262" t="str">
        <f t="shared" si="21"/>
        <v/>
      </c>
      <c r="C262" t="str">
        <f t="shared" si="22"/>
        <v/>
      </c>
      <c r="E262" t="str">
        <f>IFERROR(VLOOKUP(D262,Cadastro!$B$4:$H$100,2,FALSE),"")</f>
        <v/>
      </c>
      <c r="F262" t="str">
        <f>IFERROR(VLOOKUP(D262,Cadastro!$B$4:$H$100,3,FALSE),"")</f>
        <v/>
      </c>
      <c r="J262" s="7"/>
      <c r="K262" s="7"/>
      <c r="L262" s="7"/>
      <c r="M262" s="7"/>
      <c r="N262" s="7"/>
      <c r="O262" s="7"/>
      <c r="P262" s="8">
        <f t="shared" si="23"/>
        <v>0</v>
      </c>
      <c r="Q262" s="8">
        <f t="shared" si="24"/>
        <v>0</v>
      </c>
      <c r="R262" s="8">
        <f t="shared" si="25"/>
        <v>0</v>
      </c>
    </row>
    <row r="263" spans="1:18">
      <c r="A263" s="6"/>
      <c r="B263" t="str">
        <f t="shared" si="21"/>
        <v/>
      </c>
      <c r="C263" t="str">
        <f t="shared" si="22"/>
        <v/>
      </c>
      <c r="E263" t="str">
        <f>IFERROR(VLOOKUP(D263,Cadastro!$B$4:$H$100,2,FALSE),"")</f>
        <v/>
      </c>
      <c r="F263" t="str">
        <f>IFERROR(VLOOKUP(D263,Cadastro!$B$4:$H$100,3,FALSE),"")</f>
        <v/>
      </c>
      <c r="J263" s="7"/>
      <c r="K263" s="7"/>
      <c r="L263" s="7"/>
      <c r="M263" s="7"/>
      <c r="N263" s="7"/>
      <c r="O263" s="7"/>
      <c r="P263" s="8">
        <f t="shared" si="23"/>
        <v>0</v>
      </c>
      <c r="Q263" s="8">
        <f t="shared" si="24"/>
        <v>0</v>
      </c>
      <c r="R263" s="8">
        <f t="shared" si="25"/>
        <v>0</v>
      </c>
    </row>
    <row r="264" spans="1:18">
      <c r="A264" s="6"/>
      <c r="B264" t="str">
        <f t="shared" si="21"/>
        <v/>
      </c>
      <c r="C264" t="str">
        <f t="shared" si="22"/>
        <v/>
      </c>
      <c r="E264" t="str">
        <f>IFERROR(VLOOKUP(D264,Cadastro!$B$4:$H$100,2,FALSE),"")</f>
        <v/>
      </c>
      <c r="F264" t="str">
        <f>IFERROR(VLOOKUP(D264,Cadastro!$B$4:$H$100,3,FALSE),"")</f>
        <v/>
      </c>
      <c r="J264" s="7"/>
      <c r="K264" s="7"/>
      <c r="L264" s="7"/>
      <c r="M264" s="7"/>
      <c r="N264" s="7"/>
      <c r="O264" s="7"/>
      <c r="P264" s="8">
        <f t="shared" si="23"/>
        <v>0</v>
      </c>
      <c r="Q264" s="8">
        <f t="shared" si="24"/>
        <v>0</v>
      </c>
      <c r="R264" s="8">
        <f t="shared" si="25"/>
        <v>0</v>
      </c>
    </row>
    <row r="265" spans="1:18">
      <c r="A265" s="6"/>
      <c r="B265" t="str">
        <f t="shared" si="21"/>
        <v/>
      </c>
      <c r="C265" t="str">
        <f t="shared" si="22"/>
        <v/>
      </c>
      <c r="E265" t="str">
        <f>IFERROR(VLOOKUP(D265,Cadastro!$B$4:$H$100,2,FALSE),"")</f>
        <v/>
      </c>
      <c r="F265" t="str">
        <f>IFERROR(VLOOKUP(D265,Cadastro!$B$4:$H$100,3,FALSE),"")</f>
        <v/>
      </c>
      <c r="J265" s="7"/>
      <c r="K265" s="7"/>
      <c r="L265" s="7"/>
      <c r="M265" s="7"/>
      <c r="N265" s="7"/>
      <c r="O265" s="7"/>
      <c r="P265" s="8">
        <f t="shared" si="23"/>
        <v>0</v>
      </c>
      <c r="Q265" s="8">
        <f t="shared" si="24"/>
        <v>0</v>
      </c>
      <c r="R265" s="8">
        <f t="shared" si="25"/>
        <v>0</v>
      </c>
    </row>
    <row r="266" spans="1:18">
      <c r="A266" s="6"/>
      <c r="B266" t="str">
        <f t="shared" si="21"/>
        <v/>
      </c>
      <c r="C266" t="str">
        <f t="shared" si="22"/>
        <v/>
      </c>
      <c r="E266" t="str">
        <f>IFERROR(VLOOKUP(D266,Cadastro!$B$4:$H$100,2,FALSE),"")</f>
        <v/>
      </c>
      <c r="F266" t="str">
        <f>IFERROR(VLOOKUP(D266,Cadastro!$B$4:$H$100,3,FALSE),"")</f>
        <v/>
      </c>
      <c r="J266" s="7"/>
      <c r="K266" s="7"/>
      <c r="L266" s="7"/>
      <c r="M266" s="7"/>
      <c r="N266" s="7"/>
      <c r="O266" s="7"/>
      <c r="P266" s="8">
        <f t="shared" si="23"/>
        <v>0</v>
      </c>
      <c r="Q266" s="8">
        <f t="shared" si="24"/>
        <v>0</v>
      </c>
      <c r="R266" s="8">
        <f t="shared" si="25"/>
        <v>0</v>
      </c>
    </row>
    <row r="267" spans="1:18">
      <c r="A267" s="6"/>
      <c r="B267" t="str">
        <f t="shared" si="21"/>
        <v/>
      </c>
      <c r="C267" t="str">
        <f t="shared" si="22"/>
        <v/>
      </c>
      <c r="E267" t="str">
        <f>IFERROR(VLOOKUP(D267,Cadastro!$B$4:$H$100,2,FALSE),"")</f>
        <v/>
      </c>
      <c r="F267" t="str">
        <f>IFERROR(VLOOKUP(D267,Cadastro!$B$4:$H$100,3,FALSE),"")</f>
        <v/>
      </c>
      <c r="J267" s="7"/>
      <c r="K267" s="7"/>
      <c r="L267" s="7"/>
      <c r="M267" s="7"/>
      <c r="N267" s="7"/>
      <c r="O267" s="7"/>
      <c r="P267" s="8">
        <f t="shared" si="23"/>
        <v>0</v>
      </c>
      <c r="Q267" s="8">
        <f t="shared" si="24"/>
        <v>0</v>
      </c>
      <c r="R267" s="8">
        <f t="shared" si="25"/>
        <v>0</v>
      </c>
    </row>
    <row r="268" spans="1:18">
      <c r="A268" s="6"/>
      <c r="B268" t="str">
        <f t="shared" si="21"/>
        <v/>
      </c>
      <c r="C268" t="str">
        <f t="shared" si="22"/>
        <v/>
      </c>
      <c r="E268" t="str">
        <f>IFERROR(VLOOKUP(D268,Cadastro!$B$4:$H$100,2,FALSE),"")</f>
        <v/>
      </c>
      <c r="F268" t="str">
        <f>IFERROR(VLOOKUP(D268,Cadastro!$B$4:$H$100,3,FALSE),"")</f>
        <v/>
      </c>
      <c r="J268" s="7"/>
      <c r="K268" s="7"/>
      <c r="L268" s="7"/>
      <c r="M268" s="7"/>
      <c r="N268" s="7"/>
      <c r="O268" s="7"/>
      <c r="P268" s="8">
        <f t="shared" si="23"/>
        <v>0</v>
      </c>
      <c r="Q268" s="8">
        <f t="shared" si="24"/>
        <v>0</v>
      </c>
      <c r="R268" s="8">
        <f t="shared" si="25"/>
        <v>0</v>
      </c>
    </row>
    <row r="269" spans="1:18">
      <c r="A269" s="6"/>
      <c r="B269" t="str">
        <f t="shared" si="21"/>
        <v/>
      </c>
      <c r="C269" t="str">
        <f t="shared" si="22"/>
        <v/>
      </c>
      <c r="E269" t="str">
        <f>IFERROR(VLOOKUP(D269,Cadastro!$B$4:$H$100,2,FALSE),"")</f>
        <v/>
      </c>
      <c r="F269" t="str">
        <f>IFERROR(VLOOKUP(D269,Cadastro!$B$4:$H$100,3,FALSE),"")</f>
        <v/>
      </c>
      <c r="J269" s="7"/>
      <c r="K269" s="7"/>
      <c r="L269" s="7"/>
      <c r="M269" s="7"/>
      <c r="N269" s="7"/>
      <c r="O269" s="7"/>
      <c r="P269" s="8">
        <f t="shared" si="23"/>
        <v>0</v>
      </c>
      <c r="Q269" s="8">
        <f t="shared" si="24"/>
        <v>0</v>
      </c>
      <c r="R269" s="8">
        <f t="shared" si="25"/>
        <v>0</v>
      </c>
    </row>
    <row r="270" spans="1:18">
      <c r="A270" s="6"/>
      <c r="B270" t="str">
        <f t="shared" si="21"/>
        <v/>
      </c>
      <c r="C270" t="str">
        <f t="shared" si="22"/>
        <v/>
      </c>
      <c r="E270" t="str">
        <f>IFERROR(VLOOKUP(D270,Cadastro!$B$4:$H$100,2,FALSE),"")</f>
        <v/>
      </c>
      <c r="F270" t="str">
        <f>IFERROR(VLOOKUP(D270,Cadastro!$B$4:$H$100,3,FALSE),"")</f>
        <v/>
      </c>
      <c r="J270" s="7"/>
      <c r="K270" s="7"/>
      <c r="L270" s="7"/>
      <c r="M270" s="7"/>
      <c r="N270" s="7"/>
      <c r="O270" s="7"/>
      <c r="P270" s="8">
        <f t="shared" si="23"/>
        <v>0</v>
      </c>
      <c r="Q270" s="8">
        <f t="shared" si="24"/>
        <v>0</v>
      </c>
      <c r="R270" s="8">
        <f t="shared" si="25"/>
        <v>0</v>
      </c>
    </row>
    <row r="271" spans="1:18">
      <c r="A271" s="6"/>
      <c r="B271" t="str">
        <f t="shared" si="21"/>
        <v/>
      </c>
      <c r="C271" t="str">
        <f t="shared" si="22"/>
        <v/>
      </c>
      <c r="E271" t="str">
        <f>IFERROR(VLOOKUP(D271,Cadastro!$B$4:$H$100,2,FALSE),"")</f>
        <v/>
      </c>
      <c r="F271" t="str">
        <f>IFERROR(VLOOKUP(D271,Cadastro!$B$4:$H$100,3,FALSE),"")</f>
        <v/>
      </c>
      <c r="J271" s="7"/>
      <c r="K271" s="7"/>
      <c r="L271" s="7"/>
      <c r="M271" s="7"/>
      <c r="N271" s="7"/>
      <c r="O271" s="7"/>
      <c r="P271" s="8">
        <f t="shared" si="23"/>
        <v>0</v>
      </c>
      <c r="Q271" s="8">
        <f t="shared" si="24"/>
        <v>0</v>
      </c>
      <c r="R271" s="8">
        <f t="shared" si="25"/>
        <v>0</v>
      </c>
    </row>
    <row r="272" spans="1:18">
      <c r="A272" s="6"/>
      <c r="B272" t="str">
        <f t="shared" si="21"/>
        <v/>
      </c>
      <c r="C272" t="str">
        <f t="shared" si="22"/>
        <v/>
      </c>
      <c r="E272" t="str">
        <f>IFERROR(VLOOKUP(D272,Cadastro!$B$4:$H$100,2,FALSE),"")</f>
        <v/>
      </c>
      <c r="F272" t="str">
        <f>IFERROR(VLOOKUP(D272,Cadastro!$B$4:$H$100,3,FALSE),"")</f>
        <v/>
      </c>
      <c r="J272" s="7"/>
      <c r="K272" s="7"/>
      <c r="L272" s="7"/>
      <c r="M272" s="7"/>
      <c r="N272" s="7"/>
      <c r="O272" s="7"/>
      <c r="P272" s="8">
        <f t="shared" si="23"/>
        <v>0</v>
      </c>
      <c r="Q272" s="8">
        <f t="shared" si="24"/>
        <v>0</v>
      </c>
      <c r="R272" s="8">
        <f t="shared" si="25"/>
        <v>0</v>
      </c>
    </row>
    <row r="273" spans="1:18">
      <c r="A273" s="6"/>
      <c r="B273" t="str">
        <f t="shared" si="21"/>
        <v/>
      </c>
      <c r="C273" t="str">
        <f t="shared" si="22"/>
        <v/>
      </c>
      <c r="E273" t="str">
        <f>IFERROR(VLOOKUP(D273,Cadastro!$B$4:$H$100,2,FALSE),"")</f>
        <v/>
      </c>
      <c r="F273" t="str">
        <f>IFERROR(VLOOKUP(D273,Cadastro!$B$4:$H$100,3,FALSE),"")</f>
        <v/>
      </c>
      <c r="J273" s="7"/>
      <c r="K273" s="7"/>
      <c r="L273" s="7"/>
      <c r="M273" s="7"/>
      <c r="N273" s="7"/>
      <c r="O273" s="7"/>
      <c r="P273" s="8">
        <f t="shared" si="23"/>
        <v>0</v>
      </c>
      <c r="Q273" s="8">
        <f t="shared" si="24"/>
        <v>0</v>
      </c>
      <c r="R273" s="8">
        <f t="shared" si="25"/>
        <v>0</v>
      </c>
    </row>
    <row r="274" spans="1:18">
      <c r="A274" s="6"/>
      <c r="B274" t="str">
        <f t="shared" si="21"/>
        <v/>
      </c>
      <c r="C274" t="str">
        <f t="shared" si="22"/>
        <v/>
      </c>
      <c r="E274" t="str">
        <f>IFERROR(VLOOKUP(D274,Cadastro!$B$4:$H$100,2,FALSE),"")</f>
        <v/>
      </c>
      <c r="F274" t="str">
        <f>IFERROR(VLOOKUP(D274,Cadastro!$B$4:$H$100,3,FALSE),"")</f>
        <v/>
      </c>
      <c r="J274" s="7"/>
      <c r="K274" s="7"/>
      <c r="L274" s="7"/>
      <c r="M274" s="7"/>
      <c r="N274" s="7"/>
      <c r="O274" s="7"/>
      <c r="P274" s="8">
        <f t="shared" si="23"/>
        <v>0</v>
      </c>
      <c r="Q274" s="8">
        <f t="shared" si="24"/>
        <v>0</v>
      </c>
      <c r="R274" s="8">
        <f t="shared" si="25"/>
        <v>0</v>
      </c>
    </row>
    <row r="275" spans="1:18">
      <c r="A275" s="6"/>
      <c r="B275" t="str">
        <f t="shared" si="21"/>
        <v/>
      </c>
      <c r="C275" t="str">
        <f t="shared" si="22"/>
        <v/>
      </c>
      <c r="E275" t="str">
        <f>IFERROR(VLOOKUP(D275,Cadastro!$B$4:$H$100,2,FALSE),"")</f>
        <v/>
      </c>
      <c r="F275" t="str">
        <f>IFERROR(VLOOKUP(D275,Cadastro!$B$4:$H$100,3,FALSE),"")</f>
        <v/>
      </c>
      <c r="J275" s="7"/>
      <c r="K275" s="7"/>
      <c r="L275" s="7"/>
      <c r="M275" s="7"/>
      <c r="N275" s="7"/>
      <c r="O275" s="7"/>
      <c r="P275" s="8">
        <f t="shared" si="23"/>
        <v>0</v>
      </c>
      <c r="Q275" s="8">
        <f t="shared" si="24"/>
        <v>0</v>
      </c>
      <c r="R275" s="8">
        <f t="shared" si="25"/>
        <v>0</v>
      </c>
    </row>
    <row r="276" spans="1:18">
      <c r="A276" s="6"/>
      <c r="B276" t="str">
        <f t="shared" si="21"/>
        <v/>
      </c>
      <c r="C276" t="str">
        <f t="shared" si="22"/>
        <v/>
      </c>
      <c r="E276" t="str">
        <f>IFERROR(VLOOKUP(D276,Cadastro!$B$4:$H$100,2,FALSE),"")</f>
        <v/>
      </c>
      <c r="F276" t="str">
        <f>IFERROR(VLOOKUP(D276,Cadastro!$B$4:$H$100,3,FALSE),"")</f>
        <v/>
      </c>
      <c r="J276" s="7"/>
      <c r="K276" s="7"/>
      <c r="L276" s="7"/>
      <c r="M276" s="7"/>
      <c r="N276" s="7"/>
      <c r="O276" s="7"/>
      <c r="P276" s="8">
        <f t="shared" si="23"/>
        <v>0</v>
      </c>
      <c r="Q276" s="8">
        <f t="shared" si="24"/>
        <v>0</v>
      </c>
      <c r="R276" s="8">
        <f t="shared" si="25"/>
        <v>0</v>
      </c>
    </row>
    <row r="277" spans="1:18">
      <c r="A277" s="6"/>
      <c r="B277" t="str">
        <f t="shared" si="21"/>
        <v/>
      </c>
      <c r="C277" t="str">
        <f t="shared" si="22"/>
        <v/>
      </c>
      <c r="E277" t="str">
        <f>IFERROR(VLOOKUP(D277,Cadastro!$B$4:$H$100,2,FALSE),"")</f>
        <v/>
      </c>
      <c r="F277" t="str">
        <f>IFERROR(VLOOKUP(D277,Cadastro!$B$4:$H$100,3,FALSE),"")</f>
        <v/>
      </c>
      <c r="J277" s="7"/>
      <c r="K277" s="7"/>
      <c r="L277" s="7"/>
      <c r="M277" s="7"/>
      <c r="N277" s="7"/>
      <c r="O277" s="7"/>
      <c r="P277" s="8">
        <f t="shared" si="23"/>
        <v>0</v>
      </c>
      <c r="Q277" s="8">
        <f t="shared" si="24"/>
        <v>0</v>
      </c>
      <c r="R277" s="8">
        <f t="shared" si="25"/>
        <v>0</v>
      </c>
    </row>
    <row r="278" spans="1:18">
      <c r="A278" s="6"/>
      <c r="B278" t="str">
        <f t="shared" si="21"/>
        <v/>
      </c>
      <c r="C278" t="str">
        <f t="shared" si="22"/>
        <v/>
      </c>
      <c r="E278" t="str">
        <f>IFERROR(VLOOKUP(D278,Cadastro!$B$4:$H$100,2,FALSE),"")</f>
        <v/>
      </c>
      <c r="F278" t="str">
        <f>IFERROR(VLOOKUP(D278,Cadastro!$B$4:$H$100,3,FALSE),"")</f>
        <v/>
      </c>
      <c r="J278" s="7"/>
      <c r="K278" s="7"/>
      <c r="L278" s="7"/>
      <c r="M278" s="7"/>
      <c r="N278" s="7"/>
      <c r="O278" s="7"/>
      <c r="P278" s="8">
        <f t="shared" si="23"/>
        <v>0</v>
      </c>
      <c r="Q278" s="8">
        <f t="shared" si="24"/>
        <v>0</v>
      </c>
      <c r="R278" s="8">
        <f t="shared" si="25"/>
        <v>0</v>
      </c>
    </row>
    <row r="279" spans="1:18">
      <c r="A279" s="6"/>
      <c r="B279" t="str">
        <f t="shared" si="21"/>
        <v/>
      </c>
      <c r="C279" t="str">
        <f t="shared" si="22"/>
        <v/>
      </c>
      <c r="E279" t="str">
        <f>IFERROR(VLOOKUP(D279,Cadastro!$B$4:$H$100,2,FALSE),"")</f>
        <v/>
      </c>
      <c r="F279" t="str">
        <f>IFERROR(VLOOKUP(D279,Cadastro!$B$4:$H$100,3,FALSE),"")</f>
        <v/>
      </c>
      <c r="J279" s="7"/>
      <c r="K279" s="7"/>
      <c r="L279" s="7"/>
      <c r="M279" s="7"/>
      <c r="N279" s="7"/>
      <c r="O279" s="7"/>
      <c r="P279" s="8">
        <f t="shared" si="23"/>
        <v>0</v>
      </c>
      <c r="Q279" s="8">
        <f t="shared" si="24"/>
        <v>0</v>
      </c>
      <c r="R279" s="8">
        <f t="shared" si="25"/>
        <v>0</v>
      </c>
    </row>
    <row r="280" spans="1:18">
      <c r="A280" s="6"/>
      <c r="B280" t="str">
        <f t="shared" si="21"/>
        <v/>
      </c>
      <c r="C280" t="str">
        <f t="shared" si="22"/>
        <v/>
      </c>
      <c r="E280" t="str">
        <f>IFERROR(VLOOKUP(D280,Cadastro!$B$4:$H$100,2,FALSE),"")</f>
        <v/>
      </c>
      <c r="F280" t="str">
        <f>IFERROR(VLOOKUP(D280,Cadastro!$B$4:$H$100,3,FALSE),"")</f>
        <v/>
      </c>
      <c r="J280" s="7"/>
      <c r="K280" s="7"/>
      <c r="L280" s="7"/>
      <c r="M280" s="7"/>
      <c r="N280" s="7"/>
      <c r="O280" s="7"/>
      <c r="P280" s="8">
        <f t="shared" si="23"/>
        <v>0</v>
      </c>
      <c r="Q280" s="8">
        <f t="shared" si="24"/>
        <v>0</v>
      </c>
      <c r="R280" s="8">
        <f t="shared" si="25"/>
        <v>0</v>
      </c>
    </row>
    <row r="281" spans="1:18">
      <c r="A281" s="6"/>
      <c r="B281" t="str">
        <f t="shared" si="21"/>
        <v/>
      </c>
      <c r="C281" t="str">
        <f t="shared" si="22"/>
        <v/>
      </c>
      <c r="E281" t="str">
        <f>IFERROR(VLOOKUP(D281,Cadastro!$B$4:$H$100,2,FALSE),"")</f>
        <v/>
      </c>
      <c r="F281" t="str">
        <f>IFERROR(VLOOKUP(D281,Cadastro!$B$4:$H$100,3,FALSE),"")</f>
        <v/>
      </c>
      <c r="J281" s="7"/>
      <c r="K281" s="7"/>
      <c r="L281" s="7"/>
      <c r="M281" s="7"/>
      <c r="N281" s="7"/>
      <c r="O281" s="7"/>
      <c r="P281" s="8">
        <f t="shared" si="23"/>
        <v>0</v>
      </c>
      <c r="Q281" s="8">
        <f t="shared" si="24"/>
        <v>0</v>
      </c>
      <c r="R281" s="8">
        <f t="shared" si="25"/>
        <v>0</v>
      </c>
    </row>
    <row r="282" spans="1:18">
      <c r="A282" s="6"/>
      <c r="B282" t="str">
        <f t="shared" si="21"/>
        <v/>
      </c>
      <c r="C282" t="str">
        <f t="shared" si="22"/>
        <v/>
      </c>
      <c r="E282" t="str">
        <f>IFERROR(VLOOKUP(D282,Cadastro!$B$4:$H$100,2,FALSE),"")</f>
        <v/>
      </c>
      <c r="F282" t="str">
        <f>IFERROR(VLOOKUP(D282,Cadastro!$B$4:$H$100,3,FALSE),"")</f>
        <v/>
      </c>
      <c r="J282" s="7"/>
      <c r="K282" s="7"/>
      <c r="L282" s="7"/>
      <c r="M282" s="7"/>
      <c r="N282" s="7"/>
      <c r="O282" s="7"/>
      <c r="P282" s="8">
        <f t="shared" si="23"/>
        <v>0</v>
      </c>
      <c r="Q282" s="8">
        <f t="shared" si="24"/>
        <v>0</v>
      </c>
      <c r="R282" s="8">
        <f t="shared" si="25"/>
        <v>0</v>
      </c>
    </row>
    <row r="283" spans="1:18">
      <c r="A283" s="6"/>
      <c r="B283" t="str">
        <f t="shared" si="21"/>
        <v/>
      </c>
      <c r="C283" t="str">
        <f t="shared" si="22"/>
        <v/>
      </c>
      <c r="E283" t="str">
        <f>IFERROR(VLOOKUP(D283,Cadastro!$B$4:$H$100,2,FALSE),"")</f>
        <v/>
      </c>
      <c r="F283" t="str">
        <f>IFERROR(VLOOKUP(D283,Cadastro!$B$4:$H$100,3,FALSE),"")</f>
        <v/>
      </c>
      <c r="J283" s="7"/>
      <c r="K283" s="7"/>
      <c r="L283" s="7"/>
      <c r="M283" s="7"/>
      <c r="N283" s="7"/>
      <c r="O283" s="7"/>
      <c r="P283" s="8">
        <f t="shared" si="23"/>
        <v>0</v>
      </c>
      <c r="Q283" s="8">
        <f t="shared" si="24"/>
        <v>0</v>
      </c>
      <c r="R283" s="8">
        <f t="shared" si="25"/>
        <v>0</v>
      </c>
    </row>
    <row r="284" spans="1:18">
      <c r="A284" s="6"/>
      <c r="B284" t="str">
        <f t="shared" si="21"/>
        <v/>
      </c>
      <c r="C284" t="str">
        <f t="shared" si="22"/>
        <v/>
      </c>
      <c r="E284" t="str">
        <f>IFERROR(VLOOKUP(D284,Cadastro!$B$4:$H$100,2,FALSE),"")</f>
        <v/>
      </c>
      <c r="F284" t="str">
        <f>IFERROR(VLOOKUP(D284,Cadastro!$B$4:$H$100,3,FALSE),"")</f>
        <v/>
      </c>
      <c r="J284" s="7"/>
      <c r="K284" s="7"/>
      <c r="L284" s="7"/>
      <c r="M284" s="7"/>
      <c r="N284" s="7"/>
      <c r="O284" s="7"/>
      <c r="P284" s="8">
        <f t="shared" si="23"/>
        <v>0</v>
      </c>
      <c r="Q284" s="8">
        <f t="shared" si="24"/>
        <v>0</v>
      </c>
      <c r="R284" s="8">
        <f t="shared" si="25"/>
        <v>0</v>
      </c>
    </row>
    <row r="285" spans="1:18">
      <c r="A285" s="6"/>
      <c r="B285" t="str">
        <f t="shared" si="21"/>
        <v/>
      </c>
      <c r="C285" t="str">
        <f t="shared" si="22"/>
        <v/>
      </c>
      <c r="E285" t="str">
        <f>IFERROR(VLOOKUP(D285,Cadastro!$B$4:$H$100,2,FALSE),"")</f>
        <v/>
      </c>
      <c r="F285" t="str">
        <f>IFERROR(VLOOKUP(D285,Cadastro!$B$4:$H$100,3,FALSE),"")</f>
        <v/>
      </c>
      <c r="J285" s="7"/>
      <c r="K285" s="7"/>
      <c r="L285" s="7"/>
      <c r="M285" s="7"/>
      <c r="N285" s="7"/>
      <c r="O285" s="7"/>
      <c r="P285" s="8">
        <f t="shared" si="23"/>
        <v>0</v>
      </c>
      <c r="Q285" s="8">
        <f t="shared" si="24"/>
        <v>0</v>
      </c>
      <c r="R285" s="8">
        <f t="shared" si="25"/>
        <v>0</v>
      </c>
    </row>
    <row r="286" spans="1:18">
      <c r="A286" s="6"/>
      <c r="B286" t="str">
        <f t="shared" si="21"/>
        <v/>
      </c>
      <c r="C286" t="str">
        <f t="shared" si="22"/>
        <v/>
      </c>
      <c r="E286" t="str">
        <f>IFERROR(VLOOKUP(D286,Cadastro!$B$4:$H$100,2,FALSE),"")</f>
        <v/>
      </c>
      <c r="F286" t="str">
        <f>IFERROR(VLOOKUP(D286,Cadastro!$B$4:$H$100,3,FALSE),"")</f>
        <v/>
      </c>
      <c r="J286" s="7"/>
      <c r="K286" s="7"/>
      <c r="L286" s="7"/>
      <c r="M286" s="7"/>
      <c r="N286" s="7"/>
      <c r="O286" s="7"/>
      <c r="P286" s="8">
        <f t="shared" si="23"/>
        <v>0</v>
      </c>
      <c r="Q286" s="8">
        <f t="shared" si="24"/>
        <v>0</v>
      </c>
      <c r="R286" s="8">
        <f t="shared" si="25"/>
        <v>0</v>
      </c>
    </row>
    <row r="287" spans="1:18">
      <c r="A287" s="6"/>
      <c r="B287" t="str">
        <f t="shared" si="21"/>
        <v/>
      </c>
      <c r="C287" t="str">
        <f t="shared" si="22"/>
        <v/>
      </c>
      <c r="E287" t="str">
        <f>IFERROR(VLOOKUP(D287,Cadastro!$B$4:$H$100,2,FALSE),"")</f>
        <v/>
      </c>
      <c r="F287" t="str">
        <f>IFERROR(VLOOKUP(D287,Cadastro!$B$4:$H$100,3,FALSE),"")</f>
        <v/>
      </c>
      <c r="J287" s="7"/>
      <c r="K287" s="7"/>
      <c r="L287" s="7"/>
      <c r="M287" s="7"/>
      <c r="N287" s="7"/>
      <c r="O287" s="7"/>
      <c r="P287" s="8">
        <f t="shared" si="23"/>
        <v>0</v>
      </c>
      <c r="Q287" s="8">
        <f t="shared" si="24"/>
        <v>0</v>
      </c>
      <c r="R287" s="8">
        <f t="shared" si="25"/>
        <v>0</v>
      </c>
    </row>
    <row r="288" spans="1:18">
      <c r="A288" s="6"/>
      <c r="B288" t="str">
        <f t="shared" si="21"/>
        <v/>
      </c>
      <c r="C288" t="str">
        <f t="shared" si="22"/>
        <v/>
      </c>
      <c r="E288" t="str">
        <f>IFERROR(VLOOKUP(D288,Cadastro!$B$4:$H$100,2,FALSE),"")</f>
        <v/>
      </c>
      <c r="F288" t="str">
        <f>IFERROR(VLOOKUP(D288,Cadastro!$B$4:$H$100,3,FALSE),"")</f>
        <v/>
      </c>
      <c r="J288" s="7"/>
      <c r="K288" s="7"/>
      <c r="L288" s="7"/>
      <c r="M288" s="7"/>
      <c r="N288" s="7"/>
      <c r="O288" s="7"/>
      <c r="P288" s="8">
        <f t="shared" si="23"/>
        <v>0</v>
      </c>
      <c r="Q288" s="8">
        <f t="shared" si="24"/>
        <v>0</v>
      </c>
      <c r="R288" s="8">
        <f t="shared" si="25"/>
        <v>0</v>
      </c>
    </row>
    <row r="289" spans="1:18">
      <c r="A289" s="6"/>
      <c r="B289" t="str">
        <f t="shared" si="21"/>
        <v/>
      </c>
      <c r="C289" t="str">
        <f t="shared" si="22"/>
        <v/>
      </c>
      <c r="E289" t="str">
        <f>IFERROR(VLOOKUP(D289,Cadastro!$B$4:$H$100,2,FALSE),"")</f>
        <v/>
      </c>
      <c r="F289" t="str">
        <f>IFERROR(VLOOKUP(D289,Cadastro!$B$4:$H$100,3,FALSE),"")</f>
        <v/>
      </c>
      <c r="J289" s="7"/>
      <c r="K289" s="7"/>
      <c r="L289" s="7"/>
      <c r="M289" s="7"/>
      <c r="N289" s="7"/>
      <c r="O289" s="7"/>
      <c r="P289" s="8">
        <f t="shared" si="23"/>
        <v>0</v>
      </c>
      <c r="Q289" s="8">
        <f t="shared" si="24"/>
        <v>0</v>
      </c>
      <c r="R289" s="8">
        <f t="shared" si="25"/>
        <v>0</v>
      </c>
    </row>
    <row r="290" spans="1:18">
      <c r="A290" s="6"/>
      <c r="B290" t="str">
        <f t="shared" si="21"/>
        <v/>
      </c>
      <c r="C290" t="str">
        <f t="shared" si="22"/>
        <v/>
      </c>
      <c r="E290" t="str">
        <f>IFERROR(VLOOKUP(D290,Cadastro!$B$4:$H$100,2,FALSE),"")</f>
        <v/>
      </c>
      <c r="F290" t="str">
        <f>IFERROR(VLOOKUP(D290,Cadastro!$B$4:$H$100,3,FALSE),"")</f>
        <v/>
      </c>
      <c r="J290" s="7"/>
      <c r="K290" s="7"/>
      <c r="L290" s="7"/>
      <c r="M290" s="7"/>
      <c r="N290" s="7"/>
      <c r="O290" s="7"/>
      <c r="P290" s="8">
        <f t="shared" si="23"/>
        <v>0</v>
      </c>
      <c r="Q290" s="8">
        <f t="shared" si="24"/>
        <v>0</v>
      </c>
      <c r="R290" s="8">
        <f t="shared" si="25"/>
        <v>0</v>
      </c>
    </row>
    <row r="291" spans="1:18">
      <c r="A291" s="6"/>
      <c r="B291" t="str">
        <f t="shared" si="21"/>
        <v/>
      </c>
      <c r="C291" t="str">
        <f t="shared" si="22"/>
        <v/>
      </c>
      <c r="E291" t="str">
        <f>IFERROR(VLOOKUP(D291,Cadastro!$B$4:$H$100,2,FALSE),"")</f>
        <v/>
      </c>
      <c r="F291" t="str">
        <f>IFERROR(VLOOKUP(D291,Cadastro!$B$4:$H$100,3,FALSE),"")</f>
        <v/>
      </c>
      <c r="J291" s="7"/>
      <c r="K291" s="7"/>
      <c r="L291" s="7"/>
      <c r="M291" s="7"/>
      <c r="N291" s="7"/>
      <c r="O291" s="7"/>
      <c r="P291" s="8">
        <f t="shared" si="23"/>
        <v>0</v>
      </c>
      <c r="Q291" s="8">
        <f t="shared" si="24"/>
        <v>0</v>
      </c>
      <c r="R291" s="8">
        <f t="shared" si="25"/>
        <v>0</v>
      </c>
    </row>
    <row r="292" spans="1:18">
      <c r="A292" s="6"/>
      <c r="B292" t="str">
        <f t="shared" si="21"/>
        <v/>
      </c>
      <c r="C292" t="str">
        <f t="shared" si="22"/>
        <v/>
      </c>
      <c r="E292" t="str">
        <f>IFERROR(VLOOKUP(D292,Cadastro!$B$4:$H$100,2,FALSE),"")</f>
        <v/>
      </c>
      <c r="F292" t="str">
        <f>IFERROR(VLOOKUP(D292,Cadastro!$B$4:$H$100,3,FALSE),"")</f>
        <v/>
      </c>
      <c r="J292" s="7"/>
      <c r="K292" s="7"/>
      <c r="L292" s="7"/>
      <c r="M292" s="7"/>
      <c r="N292" s="7"/>
      <c r="O292" s="7"/>
      <c r="P292" s="8">
        <f t="shared" si="23"/>
        <v>0</v>
      </c>
      <c r="Q292" s="8">
        <f t="shared" si="24"/>
        <v>0</v>
      </c>
      <c r="R292" s="8">
        <f t="shared" si="25"/>
        <v>0</v>
      </c>
    </row>
    <row r="293" spans="1:18">
      <c r="A293" s="6"/>
      <c r="B293" t="str">
        <f t="shared" si="21"/>
        <v/>
      </c>
      <c r="C293" t="str">
        <f t="shared" si="22"/>
        <v/>
      </c>
      <c r="E293" t="str">
        <f>IFERROR(VLOOKUP(D293,Cadastro!$B$4:$H$100,2,FALSE),"")</f>
        <v/>
      </c>
      <c r="F293" t="str">
        <f>IFERROR(VLOOKUP(D293,Cadastro!$B$4:$H$100,3,FALSE),"")</f>
        <v/>
      </c>
      <c r="J293" s="7"/>
      <c r="K293" s="7"/>
      <c r="L293" s="7"/>
      <c r="M293" s="7"/>
      <c r="N293" s="7"/>
      <c r="O293" s="7"/>
      <c r="P293" s="8">
        <f t="shared" si="23"/>
        <v>0</v>
      </c>
      <c r="Q293" s="8">
        <f t="shared" si="24"/>
        <v>0</v>
      </c>
      <c r="R293" s="8">
        <f t="shared" si="25"/>
        <v>0</v>
      </c>
    </row>
    <row r="294" spans="1:18">
      <c r="A294" s="6"/>
      <c r="B294" t="str">
        <f t="shared" si="21"/>
        <v/>
      </c>
      <c r="C294" t="str">
        <f t="shared" si="22"/>
        <v/>
      </c>
      <c r="E294" t="str">
        <f>IFERROR(VLOOKUP(D294,Cadastro!$B$4:$H$100,2,FALSE),"")</f>
        <v/>
      </c>
      <c r="F294" t="str">
        <f>IFERROR(VLOOKUP(D294,Cadastro!$B$4:$H$100,3,FALSE),"")</f>
        <v/>
      </c>
      <c r="J294" s="7"/>
      <c r="K294" s="7"/>
      <c r="L294" s="7"/>
      <c r="M294" s="7"/>
      <c r="N294" s="7"/>
      <c r="O294" s="7"/>
      <c r="P294" s="8">
        <f t="shared" si="23"/>
        <v>0</v>
      </c>
      <c r="Q294" s="8">
        <f t="shared" si="24"/>
        <v>0</v>
      </c>
      <c r="R294" s="8">
        <f t="shared" si="25"/>
        <v>0</v>
      </c>
    </row>
    <row r="295" spans="1:18">
      <c r="A295" s="6"/>
      <c r="B295" t="str">
        <f t="shared" si="21"/>
        <v/>
      </c>
      <c r="C295" t="str">
        <f t="shared" si="22"/>
        <v/>
      </c>
      <c r="E295" t="str">
        <f>IFERROR(VLOOKUP(D295,Cadastro!$B$4:$H$100,2,FALSE),"")</f>
        <v/>
      </c>
      <c r="F295" t="str">
        <f>IFERROR(VLOOKUP(D295,Cadastro!$B$4:$H$100,3,FALSE),"")</f>
        <v/>
      </c>
      <c r="J295" s="7"/>
      <c r="K295" s="7"/>
      <c r="L295" s="7"/>
      <c r="M295" s="7"/>
      <c r="N295" s="7"/>
      <c r="O295" s="7"/>
      <c r="P295" s="8">
        <f t="shared" si="23"/>
        <v>0</v>
      </c>
      <c r="Q295" s="8">
        <f t="shared" si="24"/>
        <v>0</v>
      </c>
      <c r="R295" s="8">
        <f t="shared" si="25"/>
        <v>0</v>
      </c>
    </row>
    <row r="296" spans="1:18">
      <c r="A296" s="6"/>
      <c r="B296" t="str">
        <f t="shared" si="21"/>
        <v/>
      </c>
      <c r="C296" t="str">
        <f t="shared" si="22"/>
        <v/>
      </c>
      <c r="E296" t="str">
        <f>IFERROR(VLOOKUP(D296,Cadastro!$B$4:$H$100,2,FALSE),"")</f>
        <v/>
      </c>
      <c r="F296" t="str">
        <f>IFERROR(VLOOKUP(D296,Cadastro!$B$4:$H$100,3,FALSE),"")</f>
        <v/>
      </c>
      <c r="J296" s="7"/>
      <c r="K296" s="7"/>
      <c r="L296" s="7"/>
      <c r="M296" s="7"/>
      <c r="N296" s="7"/>
      <c r="O296" s="7"/>
      <c r="P296" s="8">
        <f t="shared" si="23"/>
        <v>0</v>
      </c>
      <c r="Q296" s="8">
        <f t="shared" si="24"/>
        <v>0</v>
      </c>
      <c r="R296" s="8">
        <f t="shared" si="25"/>
        <v>0</v>
      </c>
    </row>
    <row r="297" spans="1:18">
      <c r="A297" s="6"/>
      <c r="B297" t="str">
        <f t="shared" si="21"/>
        <v/>
      </c>
      <c r="C297" t="str">
        <f t="shared" si="22"/>
        <v/>
      </c>
      <c r="E297" t="str">
        <f>IFERROR(VLOOKUP(D297,Cadastro!$B$4:$H$100,2,FALSE),"")</f>
        <v/>
      </c>
      <c r="F297" t="str">
        <f>IFERROR(VLOOKUP(D297,Cadastro!$B$4:$H$100,3,FALSE),"")</f>
        <v/>
      </c>
      <c r="J297" s="7"/>
      <c r="K297" s="7"/>
      <c r="L297" s="7"/>
      <c r="M297" s="7"/>
      <c r="N297" s="7"/>
      <c r="O297" s="7"/>
      <c r="P297" s="8">
        <f t="shared" si="23"/>
        <v>0</v>
      </c>
      <c r="Q297" s="8">
        <f t="shared" si="24"/>
        <v>0</v>
      </c>
      <c r="R297" s="8">
        <f t="shared" si="25"/>
        <v>0</v>
      </c>
    </row>
    <row r="298" spans="1:18">
      <c r="A298" s="6"/>
      <c r="B298" t="str">
        <f t="shared" si="21"/>
        <v/>
      </c>
      <c r="C298" t="str">
        <f t="shared" si="22"/>
        <v/>
      </c>
      <c r="E298" t="str">
        <f>IFERROR(VLOOKUP(D298,Cadastro!$B$4:$H$100,2,FALSE),"")</f>
        <v/>
      </c>
      <c r="F298" t="str">
        <f>IFERROR(VLOOKUP(D298,Cadastro!$B$4:$H$100,3,FALSE),"")</f>
        <v/>
      </c>
      <c r="J298" s="7"/>
      <c r="K298" s="7"/>
      <c r="L298" s="7"/>
      <c r="M298" s="7"/>
      <c r="N298" s="7"/>
      <c r="O298" s="7"/>
      <c r="P298" s="8">
        <f t="shared" si="23"/>
        <v>0</v>
      </c>
      <c r="Q298" s="8">
        <f t="shared" si="24"/>
        <v>0</v>
      </c>
      <c r="R298" s="8">
        <f t="shared" si="25"/>
        <v>0</v>
      </c>
    </row>
    <row r="299" spans="1:18">
      <c r="A299" s="6"/>
      <c r="B299" t="str">
        <f t="shared" si="21"/>
        <v/>
      </c>
      <c r="C299" t="str">
        <f t="shared" si="22"/>
        <v/>
      </c>
      <c r="E299" t="str">
        <f>IFERROR(VLOOKUP(D299,Cadastro!$B$4:$H$100,2,FALSE),"")</f>
        <v/>
      </c>
      <c r="F299" t="str">
        <f>IFERROR(VLOOKUP(D299,Cadastro!$B$4:$H$100,3,FALSE),"")</f>
        <v/>
      </c>
      <c r="J299" s="7"/>
      <c r="K299" s="7"/>
      <c r="L299" s="7"/>
      <c r="M299" s="7"/>
      <c r="N299" s="7"/>
      <c r="O299" s="7"/>
      <c r="P299" s="8">
        <f t="shared" si="23"/>
        <v>0</v>
      </c>
      <c r="Q299" s="8">
        <f t="shared" si="24"/>
        <v>0</v>
      </c>
      <c r="R299" s="8">
        <f t="shared" si="25"/>
        <v>0</v>
      </c>
    </row>
    <row r="300" spans="1:18">
      <c r="A300" s="6"/>
      <c r="B300" t="str">
        <f t="shared" si="21"/>
        <v/>
      </c>
      <c r="C300" t="str">
        <f t="shared" si="22"/>
        <v/>
      </c>
      <c r="E300" t="str">
        <f>IFERROR(VLOOKUP(D300,Cadastro!$B$4:$H$100,2,FALSE),"")</f>
        <v/>
      </c>
      <c r="F300" t="str">
        <f>IFERROR(VLOOKUP(D300,Cadastro!$B$4:$H$100,3,FALSE),"")</f>
        <v/>
      </c>
      <c r="J300" s="7"/>
      <c r="K300" s="7"/>
      <c r="L300" s="7"/>
      <c r="M300" s="7"/>
      <c r="N300" s="7"/>
      <c r="O300" s="7"/>
      <c r="P300" s="8">
        <f t="shared" si="23"/>
        <v>0</v>
      </c>
      <c r="Q300" s="8">
        <f t="shared" si="24"/>
        <v>0</v>
      </c>
      <c r="R300" s="8">
        <f t="shared" si="25"/>
        <v>0</v>
      </c>
    </row>
    <row r="301" spans="1:18">
      <c r="A301" s="6"/>
      <c r="B301" t="str">
        <f t="shared" si="21"/>
        <v/>
      </c>
      <c r="C301" t="str">
        <f t="shared" si="22"/>
        <v/>
      </c>
      <c r="E301" t="str">
        <f>IFERROR(VLOOKUP(D301,Cadastro!$B$4:$H$100,2,FALSE),"")</f>
        <v/>
      </c>
      <c r="F301" t="str">
        <f>IFERROR(VLOOKUP(D301,Cadastro!$B$4:$H$100,3,FALSE),"")</f>
        <v/>
      </c>
      <c r="J301" s="7"/>
      <c r="K301" s="7"/>
      <c r="L301" s="7"/>
      <c r="M301" s="7"/>
      <c r="N301" s="7"/>
      <c r="O301" s="7"/>
      <c r="P301" s="8">
        <f t="shared" si="23"/>
        <v>0</v>
      </c>
      <c r="Q301" s="8">
        <f t="shared" si="24"/>
        <v>0</v>
      </c>
      <c r="R301" s="8">
        <f t="shared" si="25"/>
        <v>0</v>
      </c>
    </row>
    <row r="302" spans="1:18">
      <c r="A302" s="6"/>
      <c r="B302" t="str">
        <f t="shared" si="21"/>
        <v/>
      </c>
      <c r="C302" t="str">
        <f t="shared" si="22"/>
        <v/>
      </c>
      <c r="E302" t="str">
        <f>IFERROR(VLOOKUP(D302,Cadastro!$B$4:$H$100,2,FALSE),"")</f>
        <v/>
      </c>
      <c r="F302" t="str">
        <f>IFERROR(VLOOKUP(D302,Cadastro!$B$4:$H$100,3,FALSE),"")</f>
        <v/>
      </c>
      <c r="J302" s="7"/>
      <c r="K302" s="7"/>
      <c r="L302" s="7"/>
      <c r="M302" s="7"/>
      <c r="N302" s="7"/>
      <c r="O302" s="7"/>
      <c r="P302" s="8">
        <f t="shared" si="23"/>
        <v>0</v>
      </c>
      <c r="Q302" s="8">
        <f t="shared" si="24"/>
        <v>0</v>
      </c>
      <c r="R302" s="8">
        <f t="shared" si="25"/>
        <v>0</v>
      </c>
    </row>
    <row r="303" spans="1:18">
      <c r="A303" s="6"/>
      <c r="B303" t="str">
        <f t="shared" si="21"/>
        <v/>
      </c>
      <c r="C303" t="str">
        <f t="shared" si="22"/>
        <v/>
      </c>
      <c r="E303" t="str">
        <f>IFERROR(VLOOKUP(D303,Cadastro!$B$4:$H$100,2,FALSE),"")</f>
        <v/>
      </c>
      <c r="F303" t="str">
        <f>IFERROR(VLOOKUP(D303,Cadastro!$B$4:$H$100,3,FALSE),"")</f>
        <v/>
      </c>
      <c r="J303" s="7"/>
      <c r="K303" s="7"/>
      <c r="L303" s="7"/>
      <c r="M303" s="7"/>
      <c r="N303" s="7"/>
      <c r="O303" s="7"/>
      <c r="P303" s="8">
        <f t="shared" si="23"/>
        <v>0</v>
      </c>
      <c r="Q303" s="8">
        <f t="shared" si="24"/>
        <v>0</v>
      </c>
      <c r="R303" s="8">
        <f t="shared" si="25"/>
        <v>0</v>
      </c>
    </row>
    <row r="304" spans="1:18">
      <c r="A304" s="6"/>
      <c r="B304" t="str">
        <f t="shared" si="21"/>
        <v/>
      </c>
      <c r="C304" t="str">
        <f t="shared" si="22"/>
        <v/>
      </c>
      <c r="E304" t="str">
        <f>IFERROR(VLOOKUP(D304,Cadastro!$B$4:$H$100,2,FALSE),"")</f>
        <v/>
      </c>
      <c r="F304" t="str">
        <f>IFERROR(VLOOKUP(D304,Cadastro!$B$4:$H$100,3,FALSE),"")</f>
        <v/>
      </c>
      <c r="J304" s="7"/>
      <c r="K304" s="7"/>
      <c r="L304" s="7"/>
      <c r="M304" s="7"/>
      <c r="N304" s="7"/>
      <c r="O304" s="7"/>
      <c r="P304" s="8">
        <f t="shared" si="23"/>
        <v>0</v>
      </c>
      <c r="Q304" s="8">
        <f t="shared" si="24"/>
        <v>0</v>
      </c>
      <c r="R304" s="8">
        <f t="shared" si="25"/>
        <v>0</v>
      </c>
    </row>
    <row r="305" spans="1:18">
      <c r="A305" s="6"/>
      <c r="B305" t="str">
        <f t="shared" si="21"/>
        <v/>
      </c>
      <c r="C305" t="str">
        <f t="shared" si="22"/>
        <v/>
      </c>
      <c r="E305" t="str">
        <f>IFERROR(VLOOKUP(D305,Cadastro!$B$4:$H$100,2,FALSE),"")</f>
        <v/>
      </c>
      <c r="F305" t="str">
        <f>IFERROR(VLOOKUP(D305,Cadastro!$B$4:$H$100,3,FALSE),"")</f>
        <v/>
      </c>
      <c r="J305" s="7"/>
      <c r="K305" s="7"/>
      <c r="L305" s="7"/>
      <c r="M305" s="7"/>
      <c r="N305" s="7"/>
      <c r="O305" s="7"/>
      <c r="P305" s="8">
        <f t="shared" si="23"/>
        <v>0</v>
      </c>
      <c r="Q305" s="8">
        <f t="shared" si="24"/>
        <v>0</v>
      </c>
      <c r="R305" s="8">
        <f t="shared" si="25"/>
        <v>0</v>
      </c>
    </row>
    <row r="306" spans="1:18">
      <c r="A306" s="6"/>
      <c r="B306" t="str">
        <f t="shared" si="21"/>
        <v/>
      </c>
      <c r="C306" t="str">
        <f t="shared" si="22"/>
        <v/>
      </c>
      <c r="E306" t="str">
        <f>IFERROR(VLOOKUP(D306,Cadastro!$B$4:$H$100,2,FALSE),"")</f>
        <v/>
      </c>
      <c r="F306" t="str">
        <f>IFERROR(VLOOKUP(D306,Cadastro!$B$4:$H$100,3,FALSE),"")</f>
        <v/>
      </c>
      <c r="J306" s="7"/>
      <c r="K306" s="7"/>
      <c r="L306" s="7"/>
      <c r="M306" s="7"/>
      <c r="N306" s="7"/>
      <c r="O306" s="7"/>
      <c r="P306" s="8">
        <f t="shared" si="23"/>
        <v>0</v>
      </c>
      <c r="Q306" s="8">
        <f t="shared" si="24"/>
        <v>0</v>
      </c>
      <c r="R306" s="8">
        <f t="shared" si="25"/>
        <v>0</v>
      </c>
    </row>
    <row r="307" spans="1:18">
      <c r="A307" s="6"/>
      <c r="B307" t="str">
        <f t="shared" si="21"/>
        <v/>
      </c>
      <c r="C307" t="str">
        <f t="shared" si="22"/>
        <v/>
      </c>
      <c r="E307" t="str">
        <f>IFERROR(VLOOKUP(D307,Cadastro!$B$4:$H$100,2,FALSE),"")</f>
        <v/>
      </c>
      <c r="F307" t="str">
        <f>IFERROR(VLOOKUP(D307,Cadastro!$B$4:$H$100,3,FALSE),"")</f>
        <v/>
      </c>
      <c r="J307" s="7"/>
      <c r="K307" s="7"/>
      <c r="L307" s="7"/>
      <c r="M307" s="7"/>
      <c r="N307" s="7"/>
      <c r="O307" s="7"/>
      <c r="P307" s="8">
        <f t="shared" si="23"/>
        <v>0</v>
      </c>
      <c r="Q307" s="8">
        <f t="shared" si="24"/>
        <v>0</v>
      </c>
      <c r="R307" s="8">
        <f t="shared" si="25"/>
        <v>0</v>
      </c>
    </row>
    <row r="308" spans="1:18">
      <c r="A308" s="6"/>
      <c r="B308" t="str">
        <f t="shared" si="21"/>
        <v/>
      </c>
      <c r="C308" t="str">
        <f t="shared" si="22"/>
        <v/>
      </c>
      <c r="E308" t="str">
        <f>IFERROR(VLOOKUP(D308,Cadastro!$B$4:$H$100,2,FALSE),"")</f>
        <v/>
      </c>
      <c r="F308" t="str">
        <f>IFERROR(VLOOKUP(D308,Cadastro!$B$4:$H$100,3,FALSE),"")</f>
        <v/>
      </c>
      <c r="J308" s="7"/>
      <c r="K308" s="7"/>
      <c r="L308" s="7"/>
      <c r="M308" s="7"/>
      <c r="N308" s="7"/>
      <c r="O308" s="7"/>
      <c r="P308" s="8">
        <f t="shared" si="23"/>
        <v>0</v>
      </c>
      <c r="Q308" s="8">
        <f t="shared" si="24"/>
        <v>0</v>
      </c>
      <c r="R308" s="8">
        <f t="shared" si="25"/>
        <v>0</v>
      </c>
    </row>
    <row r="309" spans="1:18">
      <c r="A309" s="6"/>
      <c r="B309" t="str">
        <f t="shared" si="21"/>
        <v/>
      </c>
      <c r="C309" t="str">
        <f t="shared" si="22"/>
        <v/>
      </c>
      <c r="E309" t="str">
        <f>IFERROR(VLOOKUP(D309,Cadastro!$B$4:$H$100,2,FALSE),"")</f>
        <v/>
      </c>
      <c r="F309" t="str">
        <f>IFERROR(VLOOKUP(D309,Cadastro!$B$4:$H$100,3,FALSE),"")</f>
        <v/>
      </c>
      <c r="J309" s="7"/>
      <c r="K309" s="7"/>
      <c r="L309" s="7"/>
      <c r="M309" s="7"/>
      <c r="N309" s="7"/>
      <c r="O309" s="7"/>
      <c r="P309" s="8">
        <f t="shared" si="23"/>
        <v>0</v>
      </c>
      <c r="Q309" s="8">
        <f t="shared" si="24"/>
        <v>0</v>
      </c>
      <c r="R309" s="8">
        <f t="shared" si="25"/>
        <v>0</v>
      </c>
    </row>
    <row r="310" spans="1:18">
      <c r="A310" s="6"/>
      <c r="B310" t="str">
        <f t="shared" si="21"/>
        <v/>
      </c>
      <c r="C310" t="str">
        <f t="shared" si="22"/>
        <v/>
      </c>
      <c r="E310" t="str">
        <f>IFERROR(VLOOKUP(D310,Cadastro!$B$4:$H$100,2,FALSE),"")</f>
        <v/>
      </c>
      <c r="F310" t="str">
        <f>IFERROR(VLOOKUP(D310,Cadastro!$B$4:$H$100,3,FALSE),"")</f>
        <v/>
      </c>
      <c r="J310" s="7"/>
      <c r="K310" s="7"/>
      <c r="L310" s="7"/>
      <c r="M310" s="7"/>
      <c r="N310" s="7"/>
      <c r="O310" s="7"/>
      <c r="P310" s="8">
        <f t="shared" si="23"/>
        <v>0</v>
      </c>
      <c r="Q310" s="8">
        <f t="shared" si="24"/>
        <v>0</v>
      </c>
      <c r="R310" s="8">
        <f t="shared" si="25"/>
        <v>0</v>
      </c>
    </row>
    <row r="311" spans="1:18">
      <c r="A311" s="6"/>
      <c r="B311" t="str">
        <f t="shared" si="21"/>
        <v/>
      </c>
      <c r="C311" t="str">
        <f t="shared" si="22"/>
        <v/>
      </c>
      <c r="E311" t="str">
        <f>IFERROR(VLOOKUP(D311,Cadastro!$B$4:$H$100,2,FALSE),"")</f>
        <v/>
      </c>
      <c r="F311" t="str">
        <f>IFERROR(VLOOKUP(D311,Cadastro!$B$4:$H$100,3,FALSE),"")</f>
        <v/>
      </c>
      <c r="J311" s="7"/>
      <c r="K311" s="7"/>
      <c r="L311" s="7"/>
      <c r="M311" s="7"/>
      <c r="N311" s="7"/>
      <c r="O311" s="7"/>
      <c r="P311" s="8">
        <f t="shared" si="23"/>
        <v>0</v>
      </c>
      <c r="Q311" s="8">
        <f t="shared" si="24"/>
        <v>0</v>
      </c>
      <c r="R311" s="8">
        <f t="shared" si="25"/>
        <v>0</v>
      </c>
    </row>
    <row r="312" spans="1:18">
      <c r="A312" s="6"/>
      <c r="B312" t="str">
        <f t="shared" si="21"/>
        <v/>
      </c>
      <c r="C312" t="str">
        <f t="shared" si="22"/>
        <v/>
      </c>
      <c r="E312" t="str">
        <f>IFERROR(VLOOKUP(D312,Cadastro!$B$4:$H$100,2,FALSE),"")</f>
        <v/>
      </c>
      <c r="F312" t="str">
        <f>IFERROR(VLOOKUP(D312,Cadastro!$B$4:$H$100,3,FALSE),"")</f>
        <v/>
      </c>
      <c r="J312" s="7"/>
      <c r="K312" s="7"/>
      <c r="L312" s="7"/>
      <c r="M312" s="7"/>
      <c r="N312" s="7"/>
      <c r="O312" s="7"/>
      <c r="P312" s="8">
        <f t="shared" si="23"/>
        <v>0</v>
      </c>
      <c r="Q312" s="8">
        <f t="shared" si="24"/>
        <v>0</v>
      </c>
      <c r="R312" s="8">
        <f t="shared" si="25"/>
        <v>0</v>
      </c>
    </row>
    <row r="313" spans="1:18">
      <c r="A313" s="6"/>
      <c r="B313" t="str">
        <f t="shared" si="21"/>
        <v/>
      </c>
      <c r="C313" t="str">
        <f t="shared" si="22"/>
        <v/>
      </c>
      <c r="E313" t="str">
        <f>IFERROR(VLOOKUP(D313,Cadastro!$B$4:$H$100,2,FALSE),"")</f>
        <v/>
      </c>
      <c r="F313" t="str">
        <f>IFERROR(VLOOKUP(D313,Cadastro!$B$4:$H$100,3,FALSE),"")</f>
        <v/>
      </c>
      <c r="J313" s="7"/>
      <c r="K313" s="7"/>
      <c r="L313" s="7"/>
      <c r="M313" s="7"/>
      <c r="N313" s="7"/>
      <c r="O313" s="7"/>
      <c r="P313" s="8">
        <f t="shared" si="23"/>
        <v>0</v>
      </c>
      <c r="Q313" s="8">
        <f t="shared" si="24"/>
        <v>0</v>
      </c>
      <c r="R313" s="8">
        <f t="shared" si="25"/>
        <v>0</v>
      </c>
    </row>
    <row r="314" spans="1:18">
      <c r="A314" s="6"/>
      <c r="B314" t="str">
        <f t="shared" si="21"/>
        <v/>
      </c>
      <c r="C314" t="str">
        <f t="shared" si="22"/>
        <v/>
      </c>
      <c r="E314" t="str">
        <f>IFERROR(VLOOKUP(D314,Cadastro!$B$4:$H$100,2,FALSE),"")</f>
        <v/>
      </c>
      <c r="F314" t="str">
        <f>IFERROR(VLOOKUP(D314,Cadastro!$B$4:$H$100,3,FALSE),"")</f>
        <v/>
      </c>
      <c r="J314" s="7"/>
      <c r="K314" s="7"/>
      <c r="L314" s="7"/>
      <c r="M314" s="7"/>
      <c r="N314" s="7"/>
      <c r="O314" s="7"/>
      <c r="P314" s="8">
        <f t="shared" si="23"/>
        <v>0</v>
      </c>
      <c r="Q314" s="8">
        <f t="shared" si="24"/>
        <v>0</v>
      </c>
      <c r="R314" s="8">
        <f t="shared" si="25"/>
        <v>0</v>
      </c>
    </row>
    <row r="315" spans="1:18">
      <c r="A315" s="6"/>
      <c r="B315" t="str">
        <f t="shared" si="21"/>
        <v/>
      </c>
      <c r="C315" t="str">
        <f t="shared" si="22"/>
        <v/>
      </c>
      <c r="E315" t="str">
        <f>IFERROR(VLOOKUP(D315,Cadastro!$B$4:$H$100,2,FALSE),"")</f>
        <v/>
      </c>
      <c r="F315" t="str">
        <f>IFERROR(VLOOKUP(D315,Cadastro!$B$4:$H$100,3,FALSE),"")</f>
        <v/>
      </c>
      <c r="J315" s="7"/>
      <c r="K315" s="7"/>
      <c r="L315" s="7"/>
      <c r="M315" s="7"/>
      <c r="N315" s="7"/>
      <c r="O315" s="7"/>
      <c r="P315" s="8">
        <f t="shared" si="23"/>
        <v>0</v>
      </c>
      <c r="Q315" s="8">
        <f t="shared" si="24"/>
        <v>0</v>
      </c>
      <c r="R315" s="8">
        <f t="shared" si="25"/>
        <v>0</v>
      </c>
    </row>
    <row r="316" spans="1:18">
      <c r="A316" s="6"/>
      <c r="B316" t="str">
        <f t="shared" si="21"/>
        <v/>
      </c>
      <c r="C316" t="str">
        <f t="shared" si="22"/>
        <v/>
      </c>
      <c r="E316" t="str">
        <f>IFERROR(VLOOKUP(D316,Cadastro!$B$4:$H$100,2,FALSE),"")</f>
        <v/>
      </c>
      <c r="F316" t="str">
        <f>IFERROR(VLOOKUP(D316,Cadastro!$B$4:$H$100,3,FALSE),"")</f>
        <v/>
      </c>
      <c r="J316" s="7"/>
      <c r="K316" s="7"/>
      <c r="L316" s="7"/>
      <c r="M316" s="7"/>
      <c r="N316" s="7"/>
      <c r="O316" s="7"/>
      <c r="P316" s="8">
        <f t="shared" si="23"/>
        <v>0</v>
      </c>
      <c r="Q316" s="8">
        <f t="shared" si="24"/>
        <v>0</v>
      </c>
      <c r="R316" s="8">
        <f t="shared" si="25"/>
        <v>0</v>
      </c>
    </row>
    <row r="317" spans="1:18">
      <c r="A317" s="6"/>
      <c r="B317" t="str">
        <f t="shared" si="21"/>
        <v/>
      </c>
      <c r="C317" t="str">
        <f t="shared" si="22"/>
        <v/>
      </c>
      <c r="E317" t="str">
        <f>IFERROR(VLOOKUP(D317,Cadastro!$B$4:$H$100,2,FALSE),"")</f>
        <v/>
      </c>
      <c r="F317" t="str">
        <f>IFERROR(VLOOKUP(D317,Cadastro!$B$4:$H$100,3,FALSE),"")</f>
        <v/>
      </c>
      <c r="J317" s="7"/>
      <c r="K317" s="7"/>
      <c r="L317" s="7"/>
      <c r="M317" s="7"/>
      <c r="N317" s="7"/>
      <c r="O317" s="7"/>
      <c r="P317" s="8">
        <f t="shared" si="23"/>
        <v>0</v>
      </c>
      <c r="Q317" s="8">
        <f t="shared" si="24"/>
        <v>0</v>
      </c>
      <c r="R317" s="8">
        <f t="shared" si="25"/>
        <v>0</v>
      </c>
    </row>
    <row r="318" spans="1:18">
      <c r="A318" s="6"/>
      <c r="B318" t="str">
        <f t="shared" si="21"/>
        <v/>
      </c>
      <c r="C318" t="str">
        <f t="shared" si="22"/>
        <v/>
      </c>
      <c r="E318" t="str">
        <f>IFERROR(VLOOKUP(D318,Cadastro!$B$4:$H$100,2,FALSE),"")</f>
        <v/>
      </c>
      <c r="F318" t="str">
        <f>IFERROR(VLOOKUP(D318,Cadastro!$B$4:$H$100,3,FALSE),"")</f>
        <v/>
      </c>
      <c r="J318" s="7"/>
      <c r="K318" s="7"/>
      <c r="L318" s="7"/>
      <c r="M318" s="7"/>
      <c r="N318" s="7"/>
      <c r="O318" s="7"/>
      <c r="P318" s="8">
        <f t="shared" si="23"/>
        <v>0</v>
      </c>
      <c r="Q318" s="8">
        <f t="shared" si="24"/>
        <v>0</v>
      </c>
      <c r="R318" s="8">
        <f t="shared" si="25"/>
        <v>0</v>
      </c>
    </row>
    <row r="319" spans="1:18">
      <c r="A319" s="6"/>
      <c r="B319" t="str">
        <f t="shared" si="21"/>
        <v/>
      </c>
      <c r="C319" t="str">
        <f t="shared" si="22"/>
        <v/>
      </c>
      <c r="E319" t="str">
        <f>IFERROR(VLOOKUP(D319,Cadastro!$B$4:$H$100,2,FALSE),"")</f>
        <v/>
      </c>
      <c r="F319" t="str">
        <f>IFERROR(VLOOKUP(D319,Cadastro!$B$4:$H$100,3,FALSE),"")</f>
        <v/>
      </c>
      <c r="J319" s="7"/>
      <c r="K319" s="7"/>
      <c r="L319" s="7"/>
      <c r="M319" s="7"/>
      <c r="N319" s="7"/>
      <c r="O319" s="7"/>
      <c r="P319" s="8">
        <f t="shared" si="23"/>
        <v>0</v>
      </c>
      <c r="Q319" s="8">
        <f t="shared" si="24"/>
        <v>0</v>
      </c>
      <c r="R319" s="8">
        <f t="shared" si="25"/>
        <v>0</v>
      </c>
    </row>
    <row r="320" spans="1:18">
      <c r="A320" s="6"/>
      <c r="B320" t="str">
        <f t="shared" si="21"/>
        <v/>
      </c>
      <c r="C320" t="str">
        <f t="shared" si="22"/>
        <v/>
      </c>
      <c r="E320" t="str">
        <f>IFERROR(VLOOKUP(D320,Cadastro!$B$4:$H$100,2,FALSE),"")</f>
        <v/>
      </c>
      <c r="F320" t="str">
        <f>IFERROR(VLOOKUP(D320,Cadastro!$B$4:$H$100,3,FALSE),"")</f>
        <v/>
      </c>
      <c r="J320" s="7"/>
      <c r="K320" s="7"/>
      <c r="L320" s="7"/>
      <c r="M320" s="7"/>
      <c r="N320" s="7"/>
      <c r="O320" s="7"/>
      <c r="P320" s="8">
        <f t="shared" si="23"/>
        <v>0</v>
      </c>
      <c r="Q320" s="8">
        <f t="shared" si="24"/>
        <v>0</v>
      </c>
      <c r="R320" s="8">
        <f t="shared" si="25"/>
        <v>0</v>
      </c>
    </row>
    <row r="321" spans="1:18">
      <c r="A321" s="6"/>
      <c r="B321" t="str">
        <f t="shared" si="21"/>
        <v/>
      </c>
      <c r="C321" t="str">
        <f t="shared" si="22"/>
        <v/>
      </c>
      <c r="E321" t="str">
        <f>IFERROR(VLOOKUP(D321,Cadastro!$B$4:$H$100,2,FALSE),"")</f>
        <v/>
      </c>
      <c r="F321" t="str">
        <f>IFERROR(VLOOKUP(D321,Cadastro!$B$4:$H$100,3,FALSE),"")</f>
        <v/>
      </c>
      <c r="J321" s="7"/>
      <c r="K321" s="7"/>
      <c r="L321" s="7"/>
      <c r="M321" s="7"/>
      <c r="N321" s="7"/>
      <c r="O321" s="7"/>
      <c r="P321" s="8">
        <f t="shared" si="23"/>
        <v>0</v>
      </c>
      <c r="Q321" s="8">
        <f t="shared" si="24"/>
        <v>0</v>
      </c>
      <c r="R321" s="8">
        <f t="shared" si="25"/>
        <v>0</v>
      </c>
    </row>
    <row r="322" spans="1:18">
      <c r="A322" s="6"/>
      <c r="B322" t="str">
        <f t="shared" si="21"/>
        <v/>
      </c>
      <c r="C322" t="str">
        <f t="shared" si="22"/>
        <v/>
      </c>
      <c r="E322" t="str">
        <f>IFERROR(VLOOKUP(D322,Cadastro!$B$4:$H$100,2,FALSE),"")</f>
        <v/>
      </c>
      <c r="F322" t="str">
        <f>IFERROR(VLOOKUP(D322,Cadastro!$B$4:$H$100,3,FALSE),"")</f>
        <v/>
      </c>
      <c r="J322" s="7"/>
      <c r="K322" s="7"/>
      <c r="L322" s="7"/>
      <c r="M322" s="7"/>
      <c r="N322" s="7"/>
      <c r="O322" s="7"/>
      <c r="P322" s="8">
        <f t="shared" si="23"/>
        <v>0</v>
      </c>
      <c r="Q322" s="8">
        <f t="shared" si="24"/>
        <v>0</v>
      </c>
      <c r="R322" s="8">
        <f t="shared" si="25"/>
        <v>0</v>
      </c>
    </row>
    <row r="323" spans="1:18">
      <c r="A323" s="6"/>
      <c r="B323" t="str">
        <f t="shared" si="21"/>
        <v/>
      </c>
      <c r="C323" t="str">
        <f t="shared" si="22"/>
        <v/>
      </c>
      <c r="E323" t="str">
        <f>IFERROR(VLOOKUP(D323,Cadastro!$B$4:$H$100,2,FALSE),"")</f>
        <v/>
      </c>
      <c r="F323" t="str">
        <f>IFERROR(VLOOKUP(D323,Cadastro!$B$4:$H$100,3,FALSE),"")</f>
        <v/>
      </c>
      <c r="J323" s="7"/>
      <c r="K323" s="7"/>
      <c r="L323" s="7"/>
      <c r="M323" s="7"/>
      <c r="N323" s="7"/>
      <c r="O323" s="7"/>
      <c r="P323" s="8">
        <f t="shared" si="23"/>
        <v>0</v>
      </c>
      <c r="Q323" s="8">
        <f t="shared" si="24"/>
        <v>0</v>
      </c>
      <c r="R323" s="8">
        <f t="shared" si="25"/>
        <v>0</v>
      </c>
    </row>
    <row r="324" spans="1:18">
      <c r="A324" s="6"/>
      <c r="B324" t="str">
        <f t="shared" ref="B324:B387" si="26">IF(A324="","",YEAR(A324))</f>
        <v/>
      </c>
      <c r="C324" t="str">
        <f t="shared" ref="C324:C387" si="27">IF(A324="","",TEXT(A324,"mmmm"))</f>
        <v/>
      </c>
      <c r="E324" t="str">
        <f>IFERROR(VLOOKUP(D324,Cadastro!$B$4:$H$100,2,FALSE),"")</f>
        <v/>
      </c>
      <c r="F324" t="str">
        <f>IFERROR(VLOOKUP(D324,Cadastro!$B$4:$H$100,3,FALSE),"")</f>
        <v/>
      </c>
      <c r="J324" s="7"/>
      <c r="K324" s="7"/>
      <c r="L324" s="7"/>
      <c r="M324" s="7"/>
      <c r="N324" s="7"/>
      <c r="O324" s="7"/>
      <c r="P324" s="8">
        <f t="shared" ref="P324:P387" si="28">IF(OR(J324="",K324=""),0,(K324-J324)*24)+IF(OR(L324="",M324=""),0,(M324-L324)*24)+IF(OR(N324="",O324=""),0,(O324-N324)*24)</f>
        <v>0</v>
      </c>
      <c r="Q324" s="8">
        <f t="shared" ref="Q324:Q387" si="29">IF(OR(I324="Prática",I324="Teórico-prática"),P324,0)</f>
        <v>0</v>
      </c>
      <c r="R324" s="8">
        <f t="shared" ref="R324:R387" si="30">IF(OR(I324="Teórica",I324="Teórico-prática"),P324,0)</f>
        <v>0</v>
      </c>
    </row>
    <row r="325" spans="1:18">
      <c r="A325" s="6"/>
      <c r="B325" t="str">
        <f t="shared" si="26"/>
        <v/>
      </c>
      <c r="C325" t="str">
        <f t="shared" si="27"/>
        <v/>
      </c>
      <c r="E325" t="str">
        <f>IFERROR(VLOOKUP(D325,Cadastro!$B$4:$H$100,2,FALSE),"")</f>
        <v/>
      </c>
      <c r="F325" t="str">
        <f>IFERROR(VLOOKUP(D325,Cadastro!$B$4:$H$100,3,FALSE),"")</f>
        <v/>
      </c>
      <c r="J325" s="7"/>
      <c r="K325" s="7"/>
      <c r="L325" s="7"/>
      <c r="M325" s="7"/>
      <c r="N325" s="7"/>
      <c r="O325" s="7"/>
      <c r="P325" s="8">
        <f t="shared" si="28"/>
        <v>0</v>
      </c>
      <c r="Q325" s="8">
        <f t="shared" si="29"/>
        <v>0</v>
      </c>
      <c r="R325" s="8">
        <f t="shared" si="30"/>
        <v>0</v>
      </c>
    </row>
    <row r="326" spans="1:18">
      <c r="A326" s="6"/>
      <c r="B326" t="str">
        <f t="shared" si="26"/>
        <v/>
      </c>
      <c r="C326" t="str">
        <f t="shared" si="27"/>
        <v/>
      </c>
      <c r="E326" t="str">
        <f>IFERROR(VLOOKUP(D326,Cadastro!$B$4:$H$100,2,FALSE),"")</f>
        <v/>
      </c>
      <c r="F326" t="str">
        <f>IFERROR(VLOOKUP(D326,Cadastro!$B$4:$H$100,3,FALSE),"")</f>
        <v/>
      </c>
      <c r="J326" s="7"/>
      <c r="K326" s="7"/>
      <c r="L326" s="7"/>
      <c r="M326" s="7"/>
      <c r="N326" s="7"/>
      <c r="O326" s="7"/>
      <c r="P326" s="8">
        <f t="shared" si="28"/>
        <v>0</v>
      </c>
      <c r="Q326" s="8">
        <f t="shared" si="29"/>
        <v>0</v>
      </c>
      <c r="R326" s="8">
        <f t="shared" si="30"/>
        <v>0</v>
      </c>
    </row>
    <row r="327" spans="1:18">
      <c r="A327" s="6"/>
      <c r="B327" t="str">
        <f t="shared" si="26"/>
        <v/>
      </c>
      <c r="C327" t="str">
        <f t="shared" si="27"/>
        <v/>
      </c>
      <c r="E327" t="str">
        <f>IFERROR(VLOOKUP(D327,Cadastro!$B$4:$H$100,2,FALSE),"")</f>
        <v/>
      </c>
      <c r="F327" t="str">
        <f>IFERROR(VLOOKUP(D327,Cadastro!$B$4:$H$100,3,FALSE),"")</f>
        <v/>
      </c>
      <c r="J327" s="7"/>
      <c r="K327" s="7"/>
      <c r="L327" s="7"/>
      <c r="M327" s="7"/>
      <c r="N327" s="7"/>
      <c r="O327" s="7"/>
      <c r="P327" s="8">
        <f t="shared" si="28"/>
        <v>0</v>
      </c>
      <c r="Q327" s="8">
        <f t="shared" si="29"/>
        <v>0</v>
      </c>
      <c r="R327" s="8">
        <f t="shared" si="30"/>
        <v>0</v>
      </c>
    </row>
    <row r="328" spans="1:18">
      <c r="A328" s="6"/>
      <c r="B328" t="str">
        <f t="shared" si="26"/>
        <v/>
      </c>
      <c r="C328" t="str">
        <f t="shared" si="27"/>
        <v/>
      </c>
      <c r="E328" t="str">
        <f>IFERROR(VLOOKUP(D328,Cadastro!$B$4:$H$100,2,FALSE),"")</f>
        <v/>
      </c>
      <c r="F328" t="str">
        <f>IFERROR(VLOOKUP(D328,Cadastro!$B$4:$H$100,3,FALSE),"")</f>
        <v/>
      </c>
      <c r="J328" s="7"/>
      <c r="K328" s="7"/>
      <c r="L328" s="7"/>
      <c r="M328" s="7"/>
      <c r="N328" s="7"/>
      <c r="O328" s="7"/>
      <c r="P328" s="8">
        <f t="shared" si="28"/>
        <v>0</v>
      </c>
      <c r="Q328" s="8">
        <f t="shared" si="29"/>
        <v>0</v>
      </c>
      <c r="R328" s="8">
        <f t="shared" si="30"/>
        <v>0</v>
      </c>
    </row>
    <row r="329" spans="1:18">
      <c r="A329" s="6"/>
      <c r="B329" t="str">
        <f t="shared" si="26"/>
        <v/>
      </c>
      <c r="C329" t="str">
        <f t="shared" si="27"/>
        <v/>
      </c>
      <c r="E329" t="str">
        <f>IFERROR(VLOOKUP(D329,Cadastro!$B$4:$H$100,2,FALSE),"")</f>
        <v/>
      </c>
      <c r="F329" t="str">
        <f>IFERROR(VLOOKUP(D329,Cadastro!$B$4:$H$100,3,FALSE),"")</f>
        <v/>
      </c>
      <c r="J329" s="7"/>
      <c r="K329" s="7"/>
      <c r="L329" s="7"/>
      <c r="M329" s="7"/>
      <c r="N329" s="7"/>
      <c r="O329" s="7"/>
      <c r="P329" s="8">
        <f t="shared" si="28"/>
        <v>0</v>
      </c>
      <c r="Q329" s="8">
        <f t="shared" si="29"/>
        <v>0</v>
      </c>
      <c r="R329" s="8">
        <f t="shared" si="30"/>
        <v>0</v>
      </c>
    </row>
    <row r="330" spans="1:18">
      <c r="A330" s="6"/>
      <c r="B330" t="str">
        <f t="shared" si="26"/>
        <v/>
      </c>
      <c r="C330" t="str">
        <f t="shared" si="27"/>
        <v/>
      </c>
      <c r="E330" t="str">
        <f>IFERROR(VLOOKUP(D330,Cadastro!$B$4:$H$100,2,FALSE),"")</f>
        <v/>
      </c>
      <c r="F330" t="str">
        <f>IFERROR(VLOOKUP(D330,Cadastro!$B$4:$H$100,3,FALSE),"")</f>
        <v/>
      </c>
      <c r="J330" s="7"/>
      <c r="K330" s="7"/>
      <c r="L330" s="7"/>
      <c r="M330" s="7"/>
      <c r="N330" s="7"/>
      <c r="O330" s="7"/>
      <c r="P330" s="8">
        <f t="shared" si="28"/>
        <v>0</v>
      </c>
      <c r="Q330" s="8">
        <f t="shared" si="29"/>
        <v>0</v>
      </c>
      <c r="R330" s="8">
        <f t="shared" si="30"/>
        <v>0</v>
      </c>
    </row>
    <row r="331" spans="1:18">
      <c r="A331" s="6"/>
      <c r="B331" t="str">
        <f t="shared" si="26"/>
        <v/>
      </c>
      <c r="C331" t="str">
        <f t="shared" si="27"/>
        <v/>
      </c>
      <c r="E331" t="str">
        <f>IFERROR(VLOOKUP(D331,Cadastro!$B$4:$H$100,2,FALSE),"")</f>
        <v/>
      </c>
      <c r="F331" t="str">
        <f>IFERROR(VLOOKUP(D331,Cadastro!$B$4:$H$100,3,FALSE),"")</f>
        <v/>
      </c>
      <c r="J331" s="7"/>
      <c r="K331" s="7"/>
      <c r="L331" s="7"/>
      <c r="M331" s="7"/>
      <c r="N331" s="7"/>
      <c r="O331" s="7"/>
      <c r="P331" s="8">
        <f t="shared" si="28"/>
        <v>0</v>
      </c>
      <c r="Q331" s="8">
        <f t="shared" si="29"/>
        <v>0</v>
      </c>
      <c r="R331" s="8">
        <f t="shared" si="30"/>
        <v>0</v>
      </c>
    </row>
    <row r="332" spans="1:18">
      <c r="A332" s="6"/>
      <c r="B332" t="str">
        <f t="shared" si="26"/>
        <v/>
      </c>
      <c r="C332" t="str">
        <f t="shared" si="27"/>
        <v/>
      </c>
      <c r="E332" t="str">
        <f>IFERROR(VLOOKUP(D332,Cadastro!$B$4:$H$100,2,FALSE),"")</f>
        <v/>
      </c>
      <c r="F332" t="str">
        <f>IFERROR(VLOOKUP(D332,Cadastro!$B$4:$H$100,3,FALSE),"")</f>
        <v/>
      </c>
      <c r="J332" s="7"/>
      <c r="K332" s="7"/>
      <c r="L332" s="7"/>
      <c r="M332" s="7"/>
      <c r="N332" s="7"/>
      <c r="O332" s="7"/>
      <c r="P332" s="8">
        <f t="shared" si="28"/>
        <v>0</v>
      </c>
      <c r="Q332" s="8">
        <f t="shared" si="29"/>
        <v>0</v>
      </c>
      <c r="R332" s="8">
        <f t="shared" si="30"/>
        <v>0</v>
      </c>
    </row>
    <row r="333" spans="1:18">
      <c r="A333" s="6"/>
      <c r="B333" t="str">
        <f t="shared" si="26"/>
        <v/>
      </c>
      <c r="C333" t="str">
        <f t="shared" si="27"/>
        <v/>
      </c>
      <c r="E333" t="str">
        <f>IFERROR(VLOOKUP(D333,Cadastro!$B$4:$H$100,2,FALSE),"")</f>
        <v/>
      </c>
      <c r="F333" t="str">
        <f>IFERROR(VLOOKUP(D333,Cadastro!$B$4:$H$100,3,FALSE),"")</f>
        <v/>
      </c>
      <c r="J333" s="7"/>
      <c r="K333" s="7"/>
      <c r="L333" s="7"/>
      <c r="M333" s="7"/>
      <c r="N333" s="7"/>
      <c r="O333" s="7"/>
      <c r="P333" s="8">
        <f t="shared" si="28"/>
        <v>0</v>
      </c>
      <c r="Q333" s="8">
        <f t="shared" si="29"/>
        <v>0</v>
      </c>
      <c r="R333" s="8">
        <f t="shared" si="30"/>
        <v>0</v>
      </c>
    </row>
    <row r="334" spans="1:18">
      <c r="A334" s="6"/>
      <c r="B334" t="str">
        <f t="shared" si="26"/>
        <v/>
      </c>
      <c r="C334" t="str">
        <f t="shared" si="27"/>
        <v/>
      </c>
      <c r="E334" t="str">
        <f>IFERROR(VLOOKUP(D334,Cadastro!$B$4:$H$100,2,FALSE),"")</f>
        <v/>
      </c>
      <c r="F334" t="str">
        <f>IFERROR(VLOOKUP(D334,Cadastro!$B$4:$H$100,3,FALSE),"")</f>
        <v/>
      </c>
      <c r="J334" s="7"/>
      <c r="K334" s="7"/>
      <c r="L334" s="7"/>
      <c r="M334" s="7"/>
      <c r="N334" s="7"/>
      <c r="O334" s="7"/>
      <c r="P334" s="8">
        <f t="shared" si="28"/>
        <v>0</v>
      </c>
      <c r="Q334" s="8">
        <f t="shared" si="29"/>
        <v>0</v>
      </c>
      <c r="R334" s="8">
        <f t="shared" si="30"/>
        <v>0</v>
      </c>
    </row>
    <row r="335" spans="1:18">
      <c r="A335" s="6"/>
      <c r="B335" t="str">
        <f t="shared" si="26"/>
        <v/>
      </c>
      <c r="C335" t="str">
        <f t="shared" si="27"/>
        <v/>
      </c>
      <c r="E335" t="str">
        <f>IFERROR(VLOOKUP(D335,Cadastro!$B$4:$H$100,2,FALSE),"")</f>
        <v/>
      </c>
      <c r="F335" t="str">
        <f>IFERROR(VLOOKUP(D335,Cadastro!$B$4:$H$100,3,FALSE),"")</f>
        <v/>
      </c>
      <c r="J335" s="7"/>
      <c r="K335" s="7"/>
      <c r="L335" s="7"/>
      <c r="M335" s="7"/>
      <c r="N335" s="7"/>
      <c r="O335" s="7"/>
      <c r="P335" s="8">
        <f t="shared" si="28"/>
        <v>0</v>
      </c>
      <c r="Q335" s="8">
        <f t="shared" si="29"/>
        <v>0</v>
      </c>
      <c r="R335" s="8">
        <f t="shared" si="30"/>
        <v>0</v>
      </c>
    </row>
    <row r="336" spans="1:18">
      <c r="A336" s="6"/>
      <c r="B336" t="str">
        <f t="shared" si="26"/>
        <v/>
      </c>
      <c r="C336" t="str">
        <f t="shared" si="27"/>
        <v/>
      </c>
      <c r="E336" t="str">
        <f>IFERROR(VLOOKUP(D336,Cadastro!$B$4:$H$100,2,FALSE),"")</f>
        <v/>
      </c>
      <c r="F336" t="str">
        <f>IFERROR(VLOOKUP(D336,Cadastro!$B$4:$H$100,3,FALSE),"")</f>
        <v/>
      </c>
      <c r="J336" s="7"/>
      <c r="K336" s="7"/>
      <c r="L336" s="7"/>
      <c r="M336" s="7"/>
      <c r="N336" s="7"/>
      <c r="O336" s="7"/>
      <c r="P336" s="8">
        <f t="shared" si="28"/>
        <v>0</v>
      </c>
      <c r="Q336" s="8">
        <f t="shared" si="29"/>
        <v>0</v>
      </c>
      <c r="R336" s="8">
        <f t="shared" si="30"/>
        <v>0</v>
      </c>
    </row>
    <row r="337" spans="1:18">
      <c r="A337" s="6"/>
      <c r="B337" t="str">
        <f t="shared" si="26"/>
        <v/>
      </c>
      <c r="C337" t="str">
        <f t="shared" si="27"/>
        <v/>
      </c>
      <c r="E337" t="str">
        <f>IFERROR(VLOOKUP(D337,Cadastro!$B$4:$H$100,2,FALSE),"")</f>
        <v/>
      </c>
      <c r="F337" t="str">
        <f>IFERROR(VLOOKUP(D337,Cadastro!$B$4:$H$100,3,FALSE),"")</f>
        <v/>
      </c>
      <c r="J337" s="7"/>
      <c r="K337" s="7"/>
      <c r="L337" s="7"/>
      <c r="M337" s="7"/>
      <c r="N337" s="7"/>
      <c r="O337" s="7"/>
      <c r="P337" s="8">
        <f t="shared" si="28"/>
        <v>0</v>
      </c>
      <c r="Q337" s="8">
        <f t="shared" si="29"/>
        <v>0</v>
      </c>
      <c r="R337" s="8">
        <f t="shared" si="30"/>
        <v>0</v>
      </c>
    </row>
    <row r="338" spans="1:18">
      <c r="A338" s="6"/>
      <c r="B338" t="str">
        <f t="shared" si="26"/>
        <v/>
      </c>
      <c r="C338" t="str">
        <f t="shared" si="27"/>
        <v/>
      </c>
      <c r="E338" t="str">
        <f>IFERROR(VLOOKUP(D338,Cadastro!$B$4:$H$100,2,FALSE),"")</f>
        <v/>
      </c>
      <c r="F338" t="str">
        <f>IFERROR(VLOOKUP(D338,Cadastro!$B$4:$H$100,3,FALSE),"")</f>
        <v/>
      </c>
      <c r="J338" s="7"/>
      <c r="K338" s="7"/>
      <c r="L338" s="7"/>
      <c r="M338" s="7"/>
      <c r="N338" s="7"/>
      <c r="O338" s="7"/>
      <c r="P338" s="8">
        <f t="shared" si="28"/>
        <v>0</v>
      </c>
      <c r="Q338" s="8">
        <f t="shared" si="29"/>
        <v>0</v>
      </c>
      <c r="R338" s="8">
        <f t="shared" si="30"/>
        <v>0</v>
      </c>
    </row>
    <row r="339" spans="1:18">
      <c r="A339" s="6"/>
      <c r="B339" t="str">
        <f t="shared" si="26"/>
        <v/>
      </c>
      <c r="C339" t="str">
        <f t="shared" si="27"/>
        <v/>
      </c>
      <c r="E339" t="str">
        <f>IFERROR(VLOOKUP(D339,Cadastro!$B$4:$H$100,2,FALSE),"")</f>
        <v/>
      </c>
      <c r="F339" t="str">
        <f>IFERROR(VLOOKUP(D339,Cadastro!$B$4:$H$100,3,FALSE),"")</f>
        <v/>
      </c>
      <c r="J339" s="7"/>
      <c r="K339" s="7"/>
      <c r="L339" s="7"/>
      <c r="M339" s="7"/>
      <c r="N339" s="7"/>
      <c r="O339" s="7"/>
      <c r="P339" s="8">
        <f t="shared" si="28"/>
        <v>0</v>
      </c>
      <c r="Q339" s="8">
        <f t="shared" si="29"/>
        <v>0</v>
      </c>
      <c r="R339" s="8">
        <f t="shared" si="30"/>
        <v>0</v>
      </c>
    </row>
    <row r="340" spans="1:18">
      <c r="A340" s="6"/>
      <c r="B340" t="str">
        <f t="shared" si="26"/>
        <v/>
      </c>
      <c r="C340" t="str">
        <f t="shared" si="27"/>
        <v/>
      </c>
      <c r="E340" t="str">
        <f>IFERROR(VLOOKUP(D340,Cadastro!$B$4:$H$100,2,FALSE),"")</f>
        <v/>
      </c>
      <c r="F340" t="str">
        <f>IFERROR(VLOOKUP(D340,Cadastro!$B$4:$H$100,3,FALSE),"")</f>
        <v/>
      </c>
      <c r="J340" s="7"/>
      <c r="K340" s="7"/>
      <c r="L340" s="7"/>
      <c r="M340" s="7"/>
      <c r="N340" s="7"/>
      <c r="O340" s="7"/>
      <c r="P340" s="8">
        <f t="shared" si="28"/>
        <v>0</v>
      </c>
      <c r="Q340" s="8">
        <f t="shared" si="29"/>
        <v>0</v>
      </c>
      <c r="R340" s="8">
        <f t="shared" si="30"/>
        <v>0</v>
      </c>
    </row>
    <row r="341" spans="1:18">
      <c r="A341" s="6"/>
      <c r="B341" t="str">
        <f t="shared" si="26"/>
        <v/>
      </c>
      <c r="C341" t="str">
        <f t="shared" si="27"/>
        <v/>
      </c>
      <c r="E341" t="str">
        <f>IFERROR(VLOOKUP(D341,Cadastro!$B$4:$H$100,2,FALSE),"")</f>
        <v/>
      </c>
      <c r="F341" t="str">
        <f>IFERROR(VLOOKUP(D341,Cadastro!$B$4:$H$100,3,FALSE),"")</f>
        <v/>
      </c>
      <c r="J341" s="7"/>
      <c r="K341" s="7"/>
      <c r="L341" s="7"/>
      <c r="M341" s="7"/>
      <c r="N341" s="7"/>
      <c r="O341" s="7"/>
      <c r="P341" s="8">
        <f t="shared" si="28"/>
        <v>0</v>
      </c>
      <c r="Q341" s="8">
        <f t="shared" si="29"/>
        <v>0</v>
      </c>
      <c r="R341" s="8">
        <f t="shared" si="30"/>
        <v>0</v>
      </c>
    </row>
    <row r="342" spans="1:18">
      <c r="A342" s="6"/>
      <c r="B342" t="str">
        <f t="shared" si="26"/>
        <v/>
      </c>
      <c r="C342" t="str">
        <f t="shared" si="27"/>
        <v/>
      </c>
      <c r="E342" t="str">
        <f>IFERROR(VLOOKUP(D342,Cadastro!$B$4:$H$100,2,FALSE),"")</f>
        <v/>
      </c>
      <c r="F342" t="str">
        <f>IFERROR(VLOOKUP(D342,Cadastro!$B$4:$H$100,3,FALSE),"")</f>
        <v/>
      </c>
      <c r="J342" s="7"/>
      <c r="K342" s="7"/>
      <c r="L342" s="7"/>
      <c r="M342" s="7"/>
      <c r="N342" s="7"/>
      <c r="O342" s="7"/>
      <c r="P342" s="8">
        <f t="shared" si="28"/>
        <v>0</v>
      </c>
      <c r="Q342" s="8">
        <f t="shared" si="29"/>
        <v>0</v>
      </c>
      <c r="R342" s="8">
        <f t="shared" si="30"/>
        <v>0</v>
      </c>
    </row>
    <row r="343" spans="1:18">
      <c r="A343" s="6"/>
      <c r="B343" t="str">
        <f t="shared" si="26"/>
        <v/>
      </c>
      <c r="C343" t="str">
        <f t="shared" si="27"/>
        <v/>
      </c>
      <c r="E343" t="str">
        <f>IFERROR(VLOOKUP(D343,Cadastro!$B$4:$H$100,2,FALSE),"")</f>
        <v/>
      </c>
      <c r="F343" t="str">
        <f>IFERROR(VLOOKUP(D343,Cadastro!$B$4:$H$100,3,FALSE),"")</f>
        <v/>
      </c>
      <c r="J343" s="7"/>
      <c r="K343" s="7"/>
      <c r="L343" s="7"/>
      <c r="M343" s="7"/>
      <c r="N343" s="7"/>
      <c r="O343" s="7"/>
      <c r="P343" s="8">
        <f t="shared" si="28"/>
        <v>0</v>
      </c>
      <c r="Q343" s="8">
        <f t="shared" si="29"/>
        <v>0</v>
      </c>
      <c r="R343" s="8">
        <f t="shared" si="30"/>
        <v>0</v>
      </c>
    </row>
    <row r="344" spans="1:18">
      <c r="A344" s="6"/>
      <c r="B344" t="str">
        <f t="shared" si="26"/>
        <v/>
      </c>
      <c r="C344" t="str">
        <f t="shared" si="27"/>
        <v/>
      </c>
      <c r="E344" t="str">
        <f>IFERROR(VLOOKUP(D344,Cadastro!$B$4:$H$100,2,FALSE),"")</f>
        <v/>
      </c>
      <c r="F344" t="str">
        <f>IFERROR(VLOOKUP(D344,Cadastro!$B$4:$H$100,3,FALSE),"")</f>
        <v/>
      </c>
      <c r="J344" s="7"/>
      <c r="K344" s="7"/>
      <c r="L344" s="7"/>
      <c r="M344" s="7"/>
      <c r="N344" s="7"/>
      <c r="O344" s="7"/>
      <c r="P344" s="8">
        <f t="shared" si="28"/>
        <v>0</v>
      </c>
      <c r="Q344" s="8">
        <f t="shared" si="29"/>
        <v>0</v>
      </c>
      <c r="R344" s="8">
        <f t="shared" si="30"/>
        <v>0</v>
      </c>
    </row>
    <row r="345" spans="1:18">
      <c r="A345" s="6"/>
      <c r="B345" t="str">
        <f t="shared" si="26"/>
        <v/>
      </c>
      <c r="C345" t="str">
        <f t="shared" si="27"/>
        <v/>
      </c>
      <c r="E345" t="str">
        <f>IFERROR(VLOOKUP(D345,Cadastro!$B$4:$H$100,2,FALSE),"")</f>
        <v/>
      </c>
      <c r="F345" t="str">
        <f>IFERROR(VLOOKUP(D345,Cadastro!$B$4:$H$100,3,FALSE),"")</f>
        <v/>
      </c>
      <c r="J345" s="7"/>
      <c r="K345" s="7"/>
      <c r="L345" s="7"/>
      <c r="M345" s="7"/>
      <c r="N345" s="7"/>
      <c r="O345" s="7"/>
      <c r="P345" s="8">
        <f t="shared" si="28"/>
        <v>0</v>
      </c>
      <c r="Q345" s="8">
        <f t="shared" si="29"/>
        <v>0</v>
      </c>
      <c r="R345" s="8">
        <f t="shared" si="30"/>
        <v>0</v>
      </c>
    </row>
    <row r="346" spans="1:18">
      <c r="A346" s="6"/>
      <c r="B346" t="str">
        <f t="shared" si="26"/>
        <v/>
      </c>
      <c r="C346" t="str">
        <f t="shared" si="27"/>
        <v/>
      </c>
      <c r="E346" t="str">
        <f>IFERROR(VLOOKUP(D346,Cadastro!$B$4:$H$100,2,FALSE),"")</f>
        <v/>
      </c>
      <c r="F346" t="str">
        <f>IFERROR(VLOOKUP(D346,Cadastro!$B$4:$H$100,3,FALSE),"")</f>
        <v/>
      </c>
      <c r="J346" s="7"/>
      <c r="K346" s="7"/>
      <c r="L346" s="7"/>
      <c r="M346" s="7"/>
      <c r="N346" s="7"/>
      <c r="O346" s="7"/>
      <c r="P346" s="8">
        <f t="shared" si="28"/>
        <v>0</v>
      </c>
      <c r="Q346" s="8">
        <f t="shared" si="29"/>
        <v>0</v>
      </c>
      <c r="R346" s="8">
        <f t="shared" si="30"/>
        <v>0</v>
      </c>
    </row>
    <row r="347" spans="1:18">
      <c r="A347" s="6"/>
      <c r="B347" t="str">
        <f t="shared" si="26"/>
        <v/>
      </c>
      <c r="C347" t="str">
        <f t="shared" si="27"/>
        <v/>
      </c>
      <c r="E347" t="str">
        <f>IFERROR(VLOOKUP(D347,Cadastro!$B$4:$H$100,2,FALSE),"")</f>
        <v/>
      </c>
      <c r="F347" t="str">
        <f>IFERROR(VLOOKUP(D347,Cadastro!$B$4:$H$100,3,FALSE),"")</f>
        <v/>
      </c>
      <c r="J347" s="7"/>
      <c r="K347" s="7"/>
      <c r="L347" s="7"/>
      <c r="M347" s="7"/>
      <c r="N347" s="7"/>
      <c r="O347" s="7"/>
      <c r="P347" s="8">
        <f t="shared" si="28"/>
        <v>0</v>
      </c>
      <c r="Q347" s="8">
        <f t="shared" si="29"/>
        <v>0</v>
      </c>
      <c r="R347" s="8">
        <f t="shared" si="30"/>
        <v>0</v>
      </c>
    </row>
    <row r="348" spans="1:18">
      <c r="A348" s="6"/>
      <c r="B348" t="str">
        <f t="shared" si="26"/>
        <v/>
      </c>
      <c r="C348" t="str">
        <f t="shared" si="27"/>
        <v/>
      </c>
      <c r="E348" t="str">
        <f>IFERROR(VLOOKUP(D348,Cadastro!$B$4:$H$100,2,FALSE),"")</f>
        <v/>
      </c>
      <c r="F348" t="str">
        <f>IFERROR(VLOOKUP(D348,Cadastro!$B$4:$H$100,3,FALSE),"")</f>
        <v/>
      </c>
      <c r="J348" s="7"/>
      <c r="K348" s="7"/>
      <c r="L348" s="7"/>
      <c r="M348" s="7"/>
      <c r="N348" s="7"/>
      <c r="O348" s="7"/>
      <c r="P348" s="8">
        <f t="shared" si="28"/>
        <v>0</v>
      </c>
      <c r="Q348" s="8">
        <f t="shared" si="29"/>
        <v>0</v>
      </c>
      <c r="R348" s="8">
        <f t="shared" si="30"/>
        <v>0</v>
      </c>
    </row>
    <row r="349" spans="1:18">
      <c r="A349" s="6"/>
      <c r="B349" t="str">
        <f t="shared" si="26"/>
        <v/>
      </c>
      <c r="C349" t="str">
        <f t="shared" si="27"/>
        <v/>
      </c>
      <c r="E349" t="str">
        <f>IFERROR(VLOOKUP(D349,Cadastro!$B$4:$H$100,2,FALSE),"")</f>
        <v/>
      </c>
      <c r="F349" t="str">
        <f>IFERROR(VLOOKUP(D349,Cadastro!$B$4:$H$100,3,FALSE),"")</f>
        <v/>
      </c>
      <c r="J349" s="7"/>
      <c r="K349" s="7"/>
      <c r="L349" s="7"/>
      <c r="M349" s="7"/>
      <c r="N349" s="7"/>
      <c r="O349" s="7"/>
      <c r="P349" s="8">
        <f t="shared" si="28"/>
        <v>0</v>
      </c>
      <c r="Q349" s="8">
        <f t="shared" si="29"/>
        <v>0</v>
      </c>
      <c r="R349" s="8">
        <f t="shared" si="30"/>
        <v>0</v>
      </c>
    </row>
    <row r="350" spans="1:18">
      <c r="A350" s="6"/>
      <c r="B350" t="str">
        <f t="shared" si="26"/>
        <v/>
      </c>
      <c r="C350" t="str">
        <f t="shared" si="27"/>
        <v/>
      </c>
      <c r="E350" t="str">
        <f>IFERROR(VLOOKUP(D350,Cadastro!$B$4:$H$100,2,FALSE),"")</f>
        <v/>
      </c>
      <c r="F350" t="str">
        <f>IFERROR(VLOOKUP(D350,Cadastro!$B$4:$H$100,3,FALSE),"")</f>
        <v/>
      </c>
      <c r="J350" s="7"/>
      <c r="K350" s="7"/>
      <c r="L350" s="7"/>
      <c r="M350" s="7"/>
      <c r="N350" s="7"/>
      <c r="O350" s="7"/>
      <c r="P350" s="8">
        <f t="shared" si="28"/>
        <v>0</v>
      </c>
      <c r="Q350" s="8">
        <f t="shared" si="29"/>
        <v>0</v>
      </c>
      <c r="R350" s="8">
        <f t="shared" si="30"/>
        <v>0</v>
      </c>
    </row>
    <row r="351" spans="1:18">
      <c r="A351" s="6"/>
      <c r="B351" t="str">
        <f t="shared" si="26"/>
        <v/>
      </c>
      <c r="C351" t="str">
        <f t="shared" si="27"/>
        <v/>
      </c>
      <c r="E351" t="str">
        <f>IFERROR(VLOOKUP(D351,Cadastro!$B$4:$H$100,2,FALSE),"")</f>
        <v/>
      </c>
      <c r="F351" t="str">
        <f>IFERROR(VLOOKUP(D351,Cadastro!$B$4:$H$100,3,FALSE),"")</f>
        <v/>
      </c>
      <c r="J351" s="7"/>
      <c r="K351" s="7"/>
      <c r="L351" s="7"/>
      <c r="M351" s="7"/>
      <c r="N351" s="7"/>
      <c r="O351" s="7"/>
      <c r="P351" s="8">
        <f t="shared" si="28"/>
        <v>0</v>
      </c>
      <c r="Q351" s="8">
        <f t="shared" si="29"/>
        <v>0</v>
      </c>
      <c r="R351" s="8">
        <f t="shared" si="30"/>
        <v>0</v>
      </c>
    </row>
    <row r="352" spans="1:18">
      <c r="A352" s="6"/>
      <c r="B352" t="str">
        <f t="shared" si="26"/>
        <v/>
      </c>
      <c r="C352" t="str">
        <f t="shared" si="27"/>
        <v/>
      </c>
      <c r="E352" t="str">
        <f>IFERROR(VLOOKUP(D352,Cadastro!$B$4:$H$100,2,FALSE),"")</f>
        <v/>
      </c>
      <c r="F352" t="str">
        <f>IFERROR(VLOOKUP(D352,Cadastro!$B$4:$H$100,3,FALSE),"")</f>
        <v/>
      </c>
      <c r="J352" s="7"/>
      <c r="K352" s="7"/>
      <c r="L352" s="7"/>
      <c r="M352" s="7"/>
      <c r="N352" s="7"/>
      <c r="O352" s="7"/>
      <c r="P352" s="8">
        <f t="shared" si="28"/>
        <v>0</v>
      </c>
      <c r="Q352" s="8">
        <f t="shared" si="29"/>
        <v>0</v>
      </c>
      <c r="R352" s="8">
        <f t="shared" si="30"/>
        <v>0</v>
      </c>
    </row>
    <row r="353" spans="1:18">
      <c r="A353" s="6"/>
      <c r="B353" t="str">
        <f t="shared" si="26"/>
        <v/>
      </c>
      <c r="C353" t="str">
        <f t="shared" si="27"/>
        <v/>
      </c>
      <c r="E353" t="str">
        <f>IFERROR(VLOOKUP(D353,Cadastro!$B$4:$H$100,2,FALSE),"")</f>
        <v/>
      </c>
      <c r="F353" t="str">
        <f>IFERROR(VLOOKUP(D353,Cadastro!$B$4:$H$100,3,FALSE),"")</f>
        <v/>
      </c>
      <c r="J353" s="7"/>
      <c r="K353" s="7"/>
      <c r="L353" s="7"/>
      <c r="M353" s="7"/>
      <c r="N353" s="7"/>
      <c r="O353" s="7"/>
      <c r="P353" s="8">
        <f t="shared" si="28"/>
        <v>0</v>
      </c>
      <c r="Q353" s="8">
        <f t="shared" si="29"/>
        <v>0</v>
      </c>
      <c r="R353" s="8">
        <f t="shared" si="30"/>
        <v>0</v>
      </c>
    </row>
    <row r="354" spans="1:18">
      <c r="A354" s="6"/>
      <c r="B354" t="str">
        <f t="shared" si="26"/>
        <v/>
      </c>
      <c r="C354" t="str">
        <f t="shared" si="27"/>
        <v/>
      </c>
      <c r="E354" t="str">
        <f>IFERROR(VLOOKUP(D354,Cadastro!$B$4:$H$100,2,FALSE),"")</f>
        <v/>
      </c>
      <c r="F354" t="str">
        <f>IFERROR(VLOOKUP(D354,Cadastro!$B$4:$H$100,3,FALSE),"")</f>
        <v/>
      </c>
      <c r="J354" s="7"/>
      <c r="K354" s="7"/>
      <c r="L354" s="7"/>
      <c r="M354" s="7"/>
      <c r="N354" s="7"/>
      <c r="O354" s="7"/>
      <c r="P354" s="8">
        <f t="shared" si="28"/>
        <v>0</v>
      </c>
      <c r="Q354" s="8">
        <f t="shared" si="29"/>
        <v>0</v>
      </c>
      <c r="R354" s="8">
        <f t="shared" si="30"/>
        <v>0</v>
      </c>
    </row>
    <row r="355" spans="1:18">
      <c r="A355" s="6"/>
      <c r="B355" t="str">
        <f t="shared" si="26"/>
        <v/>
      </c>
      <c r="C355" t="str">
        <f t="shared" si="27"/>
        <v/>
      </c>
      <c r="E355" t="str">
        <f>IFERROR(VLOOKUP(D355,Cadastro!$B$4:$H$100,2,FALSE),"")</f>
        <v/>
      </c>
      <c r="F355" t="str">
        <f>IFERROR(VLOOKUP(D355,Cadastro!$B$4:$H$100,3,FALSE),"")</f>
        <v/>
      </c>
      <c r="J355" s="7"/>
      <c r="K355" s="7"/>
      <c r="L355" s="7"/>
      <c r="M355" s="7"/>
      <c r="N355" s="7"/>
      <c r="O355" s="7"/>
      <c r="P355" s="8">
        <f t="shared" si="28"/>
        <v>0</v>
      </c>
      <c r="Q355" s="8">
        <f t="shared" si="29"/>
        <v>0</v>
      </c>
      <c r="R355" s="8">
        <f t="shared" si="30"/>
        <v>0</v>
      </c>
    </row>
    <row r="356" spans="1:18">
      <c r="A356" s="6"/>
      <c r="B356" t="str">
        <f t="shared" si="26"/>
        <v/>
      </c>
      <c r="C356" t="str">
        <f t="shared" si="27"/>
        <v/>
      </c>
      <c r="E356" t="str">
        <f>IFERROR(VLOOKUP(D356,Cadastro!$B$4:$H$100,2,FALSE),"")</f>
        <v/>
      </c>
      <c r="F356" t="str">
        <f>IFERROR(VLOOKUP(D356,Cadastro!$B$4:$H$100,3,FALSE),"")</f>
        <v/>
      </c>
      <c r="J356" s="7"/>
      <c r="K356" s="7"/>
      <c r="L356" s="7"/>
      <c r="M356" s="7"/>
      <c r="N356" s="7"/>
      <c r="O356" s="7"/>
      <c r="P356" s="8">
        <f t="shared" si="28"/>
        <v>0</v>
      </c>
      <c r="Q356" s="8">
        <f t="shared" si="29"/>
        <v>0</v>
      </c>
      <c r="R356" s="8">
        <f t="shared" si="30"/>
        <v>0</v>
      </c>
    </row>
    <row r="357" spans="1:18">
      <c r="A357" s="6"/>
      <c r="B357" t="str">
        <f t="shared" si="26"/>
        <v/>
      </c>
      <c r="C357" t="str">
        <f t="shared" si="27"/>
        <v/>
      </c>
      <c r="E357" t="str">
        <f>IFERROR(VLOOKUP(D357,Cadastro!$B$4:$H$100,2,FALSE),"")</f>
        <v/>
      </c>
      <c r="F357" t="str">
        <f>IFERROR(VLOOKUP(D357,Cadastro!$B$4:$H$100,3,FALSE),"")</f>
        <v/>
      </c>
      <c r="J357" s="7"/>
      <c r="K357" s="7"/>
      <c r="L357" s="7"/>
      <c r="M357" s="7"/>
      <c r="N357" s="7"/>
      <c r="O357" s="7"/>
      <c r="P357" s="8">
        <f t="shared" si="28"/>
        <v>0</v>
      </c>
      <c r="Q357" s="8">
        <f t="shared" si="29"/>
        <v>0</v>
      </c>
      <c r="R357" s="8">
        <f t="shared" si="30"/>
        <v>0</v>
      </c>
    </row>
    <row r="358" spans="1:18">
      <c r="A358" s="6"/>
      <c r="B358" t="str">
        <f t="shared" si="26"/>
        <v/>
      </c>
      <c r="C358" t="str">
        <f t="shared" si="27"/>
        <v/>
      </c>
      <c r="E358" t="str">
        <f>IFERROR(VLOOKUP(D358,Cadastro!$B$4:$H$100,2,FALSE),"")</f>
        <v/>
      </c>
      <c r="F358" t="str">
        <f>IFERROR(VLOOKUP(D358,Cadastro!$B$4:$H$100,3,FALSE),"")</f>
        <v/>
      </c>
      <c r="J358" s="7"/>
      <c r="K358" s="7"/>
      <c r="L358" s="7"/>
      <c r="M358" s="7"/>
      <c r="N358" s="7"/>
      <c r="O358" s="7"/>
      <c r="P358" s="8">
        <f t="shared" si="28"/>
        <v>0</v>
      </c>
      <c r="Q358" s="8">
        <f t="shared" si="29"/>
        <v>0</v>
      </c>
      <c r="R358" s="8">
        <f t="shared" si="30"/>
        <v>0</v>
      </c>
    </row>
    <row r="359" spans="1:18">
      <c r="A359" s="6"/>
      <c r="B359" t="str">
        <f t="shared" si="26"/>
        <v/>
      </c>
      <c r="C359" t="str">
        <f t="shared" si="27"/>
        <v/>
      </c>
      <c r="E359" t="str">
        <f>IFERROR(VLOOKUP(D359,Cadastro!$B$4:$H$100,2,FALSE),"")</f>
        <v/>
      </c>
      <c r="F359" t="str">
        <f>IFERROR(VLOOKUP(D359,Cadastro!$B$4:$H$100,3,FALSE),"")</f>
        <v/>
      </c>
      <c r="J359" s="7"/>
      <c r="K359" s="7"/>
      <c r="L359" s="7"/>
      <c r="M359" s="7"/>
      <c r="N359" s="7"/>
      <c r="O359" s="7"/>
      <c r="P359" s="8">
        <f t="shared" si="28"/>
        <v>0</v>
      </c>
      <c r="Q359" s="8">
        <f t="shared" si="29"/>
        <v>0</v>
      </c>
      <c r="R359" s="8">
        <f t="shared" si="30"/>
        <v>0</v>
      </c>
    </row>
    <row r="360" spans="1:18">
      <c r="A360" s="6"/>
      <c r="B360" t="str">
        <f t="shared" si="26"/>
        <v/>
      </c>
      <c r="C360" t="str">
        <f t="shared" si="27"/>
        <v/>
      </c>
      <c r="E360" t="str">
        <f>IFERROR(VLOOKUP(D360,Cadastro!$B$4:$H$100,2,FALSE),"")</f>
        <v/>
      </c>
      <c r="F360" t="str">
        <f>IFERROR(VLOOKUP(D360,Cadastro!$B$4:$H$100,3,FALSE),"")</f>
        <v/>
      </c>
      <c r="J360" s="7"/>
      <c r="K360" s="7"/>
      <c r="L360" s="7"/>
      <c r="M360" s="7"/>
      <c r="N360" s="7"/>
      <c r="O360" s="7"/>
      <c r="P360" s="8">
        <f t="shared" si="28"/>
        <v>0</v>
      </c>
      <c r="Q360" s="8">
        <f t="shared" si="29"/>
        <v>0</v>
      </c>
      <c r="R360" s="8">
        <f t="shared" si="30"/>
        <v>0</v>
      </c>
    </row>
    <row r="361" spans="1:18">
      <c r="A361" s="6"/>
      <c r="B361" t="str">
        <f t="shared" si="26"/>
        <v/>
      </c>
      <c r="C361" t="str">
        <f t="shared" si="27"/>
        <v/>
      </c>
      <c r="E361" t="str">
        <f>IFERROR(VLOOKUP(D361,Cadastro!$B$4:$H$100,2,FALSE),"")</f>
        <v/>
      </c>
      <c r="F361" t="str">
        <f>IFERROR(VLOOKUP(D361,Cadastro!$B$4:$H$100,3,FALSE),"")</f>
        <v/>
      </c>
      <c r="J361" s="7"/>
      <c r="K361" s="7"/>
      <c r="L361" s="7"/>
      <c r="M361" s="7"/>
      <c r="N361" s="7"/>
      <c r="O361" s="7"/>
      <c r="P361" s="8">
        <f t="shared" si="28"/>
        <v>0</v>
      </c>
      <c r="Q361" s="8">
        <f t="shared" si="29"/>
        <v>0</v>
      </c>
      <c r="R361" s="8">
        <f t="shared" si="30"/>
        <v>0</v>
      </c>
    </row>
    <row r="362" spans="1:18">
      <c r="A362" s="6"/>
      <c r="B362" t="str">
        <f t="shared" si="26"/>
        <v/>
      </c>
      <c r="C362" t="str">
        <f t="shared" si="27"/>
        <v/>
      </c>
      <c r="E362" t="str">
        <f>IFERROR(VLOOKUP(D362,Cadastro!$B$4:$H$100,2,FALSE),"")</f>
        <v/>
      </c>
      <c r="F362" t="str">
        <f>IFERROR(VLOOKUP(D362,Cadastro!$B$4:$H$100,3,FALSE),"")</f>
        <v/>
      </c>
      <c r="J362" s="7"/>
      <c r="K362" s="7"/>
      <c r="L362" s="7"/>
      <c r="M362" s="7"/>
      <c r="N362" s="7"/>
      <c r="O362" s="7"/>
      <c r="P362" s="8">
        <f t="shared" si="28"/>
        <v>0</v>
      </c>
      <c r="Q362" s="8">
        <f t="shared" si="29"/>
        <v>0</v>
      </c>
      <c r="R362" s="8">
        <f t="shared" si="30"/>
        <v>0</v>
      </c>
    </row>
    <row r="363" spans="1:18">
      <c r="A363" s="6"/>
      <c r="B363" t="str">
        <f t="shared" si="26"/>
        <v/>
      </c>
      <c r="C363" t="str">
        <f t="shared" si="27"/>
        <v/>
      </c>
      <c r="E363" t="str">
        <f>IFERROR(VLOOKUP(D363,Cadastro!$B$4:$H$100,2,FALSE),"")</f>
        <v/>
      </c>
      <c r="F363" t="str">
        <f>IFERROR(VLOOKUP(D363,Cadastro!$B$4:$H$100,3,FALSE),"")</f>
        <v/>
      </c>
      <c r="J363" s="7"/>
      <c r="K363" s="7"/>
      <c r="L363" s="7"/>
      <c r="M363" s="7"/>
      <c r="N363" s="7"/>
      <c r="O363" s="7"/>
      <c r="P363" s="8">
        <f t="shared" si="28"/>
        <v>0</v>
      </c>
      <c r="Q363" s="8">
        <f t="shared" si="29"/>
        <v>0</v>
      </c>
      <c r="R363" s="8">
        <f t="shared" si="30"/>
        <v>0</v>
      </c>
    </row>
    <row r="364" spans="1:18">
      <c r="A364" s="6"/>
      <c r="B364" t="str">
        <f t="shared" si="26"/>
        <v/>
      </c>
      <c r="C364" t="str">
        <f t="shared" si="27"/>
        <v/>
      </c>
      <c r="E364" t="str">
        <f>IFERROR(VLOOKUP(D364,Cadastro!$B$4:$H$100,2,FALSE),"")</f>
        <v/>
      </c>
      <c r="F364" t="str">
        <f>IFERROR(VLOOKUP(D364,Cadastro!$B$4:$H$100,3,FALSE),"")</f>
        <v/>
      </c>
      <c r="J364" s="7"/>
      <c r="K364" s="7"/>
      <c r="L364" s="7"/>
      <c r="M364" s="7"/>
      <c r="N364" s="7"/>
      <c r="O364" s="7"/>
      <c r="P364" s="8">
        <f t="shared" si="28"/>
        <v>0</v>
      </c>
      <c r="Q364" s="8">
        <f t="shared" si="29"/>
        <v>0</v>
      </c>
      <c r="R364" s="8">
        <f t="shared" si="30"/>
        <v>0</v>
      </c>
    </row>
    <row r="365" spans="1:18">
      <c r="A365" s="6"/>
      <c r="B365" t="str">
        <f t="shared" si="26"/>
        <v/>
      </c>
      <c r="C365" t="str">
        <f t="shared" si="27"/>
        <v/>
      </c>
      <c r="E365" t="str">
        <f>IFERROR(VLOOKUP(D365,Cadastro!$B$4:$H$100,2,FALSE),"")</f>
        <v/>
      </c>
      <c r="F365" t="str">
        <f>IFERROR(VLOOKUP(D365,Cadastro!$B$4:$H$100,3,FALSE),"")</f>
        <v/>
      </c>
      <c r="J365" s="7"/>
      <c r="K365" s="7"/>
      <c r="L365" s="7"/>
      <c r="M365" s="7"/>
      <c r="N365" s="7"/>
      <c r="O365" s="7"/>
      <c r="P365" s="8">
        <f t="shared" si="28"/>
        <v>0</v>
      </c>
      <c r="Q365" s="8">
        <f t="shared" si="29"/>
        <v>0</v>
      </c>
      <c r="R365" s="8">
        <f t="shared" si="30"/>
        <v>0</v>
      </c>
    </row>
    <row r="366" spans="1:18">
      <c r="A366" s="6"/>
      <c r="B366" t="str">
        <f t="shared" si="26"/>
        <v/>
      </c>
      <c r="C366" t="str">
        <f t="shared" si="27"/>
        <v/>
      </c>
      <c r="E366" t="str">
        <f>IFERROR(VLOOKUP(D366,Cadastro!$B$4:$H$100,2,FALSE),"")</f>
        <v/>
      </c>
      <c r="F366" t="str">
        <f>IFERROR(VLOOKUP(D366,Cadastro!$B$4:$H$100,3,FALSE),"")</f>
        <v/>
      </c>
      <c r="J366" s="7"/>
      <c r="K366" s="7"/>
      <c r="L366" s="7"/>
      <c r="M366" s="7"/>
      <c r="N366" s="7"/>
      <c r="O366" s="7"/>
      <c r="P366" s="8">
        <f t="shared" si="28"/>
        <v>0</v>
      </c>
      <c r="Q366" s="8">
        <f t="shared" si="29"/>
        <v>0</v>
      </c>
      <c r="R366" s="8">
        <f t="shared" si="30"/>
        <v>0</v>
      </c>
    </row>
    <row r="367" spans="1:18">
      <c r="A367" s="6"/>
      <c r="B367" t="str">
        <f t="shared" si="26"/>
        <v/>
      </c>
      <c r="C367" t="str">
        <f t="shared" si="27"/>
        <v/>
      </c>
      <c r="E367" t="str">
        <f>IFERROR(VLOOKUP(D367,Cadastro!$B$4:$H$100,2,FALSE),"")</f>
        <v/>
      </c>
      <c r="F367" t="str">
        <f>IFERROR(VLOOKUP(D367,Cadastro!$B$4:$H$100,3,FALSE),"")</f>
        <v/>
      </c>
      <c r="J367" s="7"/>
      <c r="K367" s="7"/>
      <c r="L367" s="7"/>
      <c r="M367" s="7"/>
      <c r="N367" s="7"/>
      <c r="O367" s="7"/>
      <c r="P367" s="8">
        <f t="shared" si="28"/>
        <v>0</v>
      </c>
      <c r="Q367" s="8">
        <f t="shared" si="29"/>
        <v>0</v>
      </c>
      <c r="R367" s="8">
        <f t="shared" si="30"/>
        <v>0</v>
      </c>
    </row>
    <row r="368" spans="1:18">
      <c r="A368" s="6"/>
      <c r="B368" t="str">
        <f t="shared" si="26"/>
        <v/>
      </c>
      <c r="C368" t="str">
        <f t="shared" si="27"/>
        <v/>
      </c>
      <c r="E368" t="str">
        <f>IFERROR(VLOOKUP(D368,Cadastro!$B$4:$H$100,2,FALSE),"")</f>
        <v/>
      </c>
      <c r="F368" t="str">
        <f>IFERROR(VLOOKUP(D368,Cadastro!$B$4:$H$100,3,FALSE),"")</f>
        <v/>
      </c>
      <c r="J368" s="7"/>
      <c r="K368" s="7"/>
      <c r="L368" s="7"/>
      <c r="M368" s="7"/>
      <c r="N368" s="7"/>
      <c r="O368" s="7"/>
      <c r="P368" s="8">
        <f t="shared" si="28"/>
        <v>0</v>
      </c>
      <c r="Q368" s="8">
        <f t="shared" si="29"/>
        <v>0</v>
      </c>
      <c r="R368" s="8">
        <f t="shared" si="30"/>
        <v>0</v>
      </c>
    </row>
    <row r="369" spans="1:18">
      <c r="A369" s="6"/>
      <c r="B369" t="str">
        <f t="shared" si="26"/>
        <v/>
      </c>
      <c r="C369" t="str">
        <f t="shared" si="27"/>
        <v/>
      </c>
      <c r="E369" t="str">
        <f>IFERROR(VLOOKUP(D369,Cadastro!$B$4:$H$100,2,FALSE),"")</f>
        <v/>
      </c>
      <c r="F369" t="str">
        <f>IFERROR(VLOOKUP(D369,Cadastro!$B$4:$H$100,3,FALSE),"")</f>
        <v/>
      </c>
      <c r="J369" s="7"/>
      <c r="K369" s="7"/>
      <c r="L369" s="7"/>
      <c r="M369" s="7"/>
      <c r="N369" s="7"/>
      <c r="O369" s="7"/>
      <c r="P369" s="8">
        <f t="shared" si="28"/>
        <v>0</v>
      </c>
      <c r="Q369" s="8">
        <f t="shared" si="29"/>
        <v>0</v>
      </c>
      <c r="R369" s="8">
        <f t="shared" si="30"/>
        <v>0</v>
      </c>
    </row>
    <row r="370" spans="1:18">
      <c r="A370" s="6"/>
      <c r="B370" t="str">
        <f t="shared" si="26"/>
        <v/>
      </c>
      <c r="C370" t="str">
        <f t="shared" si="27"/>
        <v/>
      </c>
      <c r="E370" t="str">
        <f>IFERROR(VLOOKUP(D370,Cadastro!$B$4:$H$100,2,FALSE),"")</f>
        <v/>
      </c>
      <c r="F370" t="str">
        <f>IFERROR(VLOOKUP(D370,Cadastro!$B$4:$H$100,3,FALSE),"")</f>
        <v/>
      </c>
      <c r="J370" s="7"/>
      <c r="K370" s="7"/>
      <c r="L370" s="7"/>
      <c r="M370" s="7"/>
      <c r="N370" s="7"/>
      <c r="O370" s="7"/>
      <c r="P370" s="8">
        <f t="shared" si="28"/>
        <v>0</v>
      </c>
      <c r="Q370" s="8">
        <f t="shared" si="29"/>
        <v>0</v>
      </c>
      <c r="R370" s="8">
        <f t="shared" si="30"/>
        <v>0</v>
      </c>
    </row>
    <row r="371" spans="1:18">
      <c r="A371" s="6"/>
      <c r="B371" t="str">
        <f t="shared" si="26"/>
        <v/>
      </c>
      <c r="C371" t="str">
        <f t="shared" si="27"/>
        <v/>
      </c>
      <c r="E371" t="str">
        <f>IFERROR(VLOOKUP(D371,Cadastro!$B$4:$H$100,2,FALSE),"")</f>
        <v/>
      </c>
      <c r="F371" t="str">
        <f>IFERROR(VLOOKUP(D371,Cadastro!$B$4:$H$100,3,FALSE),"")</f>
        <v/>
      </c>
      <c r="J371" s="7"/>
      <c r="K371" s="7"/>
      <c r="L371" s="7"/>
      <c r="M371" s="7"/>
      <c r="N371" s="7"/>
      <c r="O371" s="7"/>
      <c r="P371" s="8">
        <f t="shared" si="28"/>
        <v>0</v>
      </c>
      <c r="Q371" s="8">
        <f t="shared" si="29"/>
        <v>0</v>
      </c>
      <c r="R371" s="8">
        <f t="shared" si="30"/>
        <v>0</v>
      </c>
    </row>
    <row r="372" spans="1:18">
      <c r="A372" s="6"/>
      <c r="B372" t="str">
        <f t="shared" si="26"/>
        <v/>
      </c>
      <c r="C372" t="str">
        <f t="shared" si="27"/>
        <v/>
      </c>
      <c r="E372" t="str">
        <f>IFERROR(VLOOKUP(D372,Cadastro!$B$4:$H$100,2,FALSE),"")</f>
        <v/>
      </c>
      <c r="F372" t="str">
        <f>IFERROR(VLOOKUP(D372,Cadastro!$B$4:$H$100,3,FALSE),"")</f>
        <v/>
      </c>
      <c r="J372" s="7"/>
      <c r="K372" s="7"/>
      <c r="L372" s="7"/>
      <c r="M372" s="7"/>
      <c r="N372" s="7"/>
      <c r="O372" s="7"/>
      <c r="P372" s="8">
        <f t="shared" si="28"/>
        <v>0</v>
      </c>
      <c r="Q372" s="8">
        <f t="shared" si="29"/>
        <v>0</v>
      </c>
      <c r="R372" s="8">
        <f t="shared" si="30"/>
        <v>0</v>
      </c>
    </row>
    <row r="373" spans="1:18">
      <c r="A373" s="6"/>
      <c r="B373" t="str">
        <f t="shared" si="26"/>
        <v/>
      </c>
      <c r="C373" t="str">
        <f t="shared" si="27"/>
        <v/>
      </c>
      <c r="E373" t="str">
        <f>IFERROR(VLOOKUP(D373,Cadastro!$B$4:$H$100,2,FALSE),"")</f>
        <v/>
      </c>
      <c r="F373" t="str">
        <f>IFERROR(VLOOKUP(D373,Cadastro!$B$4:$H$100,3,FALSE),"")</f>
        <v/>
      </c>
      <c r="J373" s="7"/>
      <c r="K373" s="7"/>
      <c r="L373" s="7"/>
      <c r="M373" s="7"/>
      <c r="N373" s="7"/>
      <c r="O373" s="7"/>
      <c r="P373" s="8">
        <f t="shared" si="28"/>
        <v>0</v>
      </c>
      <c r="Q373" s="8">
        <f t="shared" si="29"/>
        <v>0</v>
      </c>
      <c r="R373" s="8">
        <f t="shared" si="30"/>
        <v>0</v>
      </c>
    </row>
    <row r="374" spans="1:18">
      <c r="A374" s="6"/>
      <c r="B374" t="str">
        <f t="shared" si="26"/>
        <v/>
      </c>
      <c r="C374" t="str">
        <f t="shared" si="27"/>
        <v/>
      </c>
      <c r="E374" t="str">
        <f>IFERROR(VLOOKUP(D374,Cadastro!$B$4:$H$100,2,FALSE),"")</f>
        <v/>
      </c>
      <c r="F374" t="str">
        <f>IFERROR(VLOOKUP(D374,Cadastro!$B$4:$H$100,3,FALSE),"")</f>
        <v/>
      </c>
      <c r="J374" s="7"/>
      <c r="K374" s="7"/>
      <c r="L374" s="7"/>
      <c r="M374" s="7"/>
      <c r="N374" s="7"/>
      <c r="O374" s="7"/>
      <c r="P374" s="8">
        <f t="shared" si="28"/>
        <v>0</v>
      </c>
      <c r="Q374" s="8">
        <f t="shared" si="29"/>
        <v>0</v>
      </c>
      <c r="R374" s="8">
        <f t="shared" si="30"/>
        <v>0</v>
      </c>
    </row>
    <row r="375" spans="1:18">
      <c r="A375" s="6"/>
      <c r="B375" t="str">
        <f t="shared" si="26"/>
        <v/>
      </c>
      <c r="C375" t="str">
        <f t="shared" si="27"/>
        <v/>
      </c>
      <c r="E375" t="str">
        <f>IFERROR(VLOOKUP(D375,Cadastro!$B$4:$H$100,2,FALSE),"")</f>
        <v/>
      </c>
      <c r="F375" t="str">
        <f>IFERROR(VLOOKUP(D375,Cadastro!$B$4:$H$100,3,FALSE),"")</f>
        <v/>
      </c>
      <c r="J375" s="7"/>
      <c r="K375" s="7"/>
      <c r="L375" s="7"/>
      <c r="M375" s="7"/>
      <c r="N375" s="7"/>
      <c r="O375" s="7"/>
      <c r="P375" s="8">
        <f t="shared" si="28"/>
        <v>0</v>
      </c>
      <c r="Q375" s="8">
        <f t="shared" si="29"/>
        <v>0</v>
      </c>
      <c r="R375" s="8">
        <f t="shared" si="30"/>
        <v>0</v>
      </c>
    </row>
    <row r="376" spans="1:18">
      <c r="A376" s="6"/>
      <c r="B376" t="str">
        <f t="shared" si="26"/>
        <v/>
      </c>
      <c r="C376" t="str">
        <f t="shared" si="27"/>
        <v/>
      </c>
      <c r="E376" t="str">
        <f>IFERROR(VLOOKUP(D376,Cadastro!$B$4:$H$100,2,FALSE),"")</f>
        <v/>
      </c>
      <c r="F376" t="str">
        <f>IFERROR(VLOOKUP(D376,Cadastro!$B$4:$H$100,3,FALSE),"")</f>
        <v/>
      </c>
      <c r="J376" s="7"/>
      <c r="K376" s="7"/>
      <c r="L376" s="7"/>
      <c r="M376" s="7"/>
      <c r="N376" s="7"/>
      <c r="O376" s="7"/>
      <c r="P376" s="8">
        <f t="shared" si="28"/>
        <v>0</v>
      </c>
      <c r="Q376" s="8">
        <f t="shared" si="29"/>
        <v>0</v>
      </c>
      <c r="R376" s="8">
        <f t="shared" si="30"/>
        <v>0</v>
      </c>
    </row>
    <row r="377" spans="1:18">
      <c r="A377" s="6"/>
      <c r="B377" t="str">
        <f t="shared" si="26"/>
        <v/>
      </c>
      <c r="C377" t="str">
        <f t="shared" si="27"/>
        <v/>
      </c>
      <c r="E377" t="str">
        <f>IFERROR(VLOOKUP(D377,Cadastro!$B$4:$H$100,2,FALSE),"")</f>
        <v/>
      </c>
      <c r="F377" t="str">
        <f>IFERROR(VLOOKUP(D377,Cadastro!$B$4:$H$100,3,FALSE),"")</f>
        <v/>
      </c>
      <c r="J377" s="7"/>
      <c r="K377" s="7"/>
      <c r="L377" s="7"/>
      <c r="M377" s="7"/>
      <c r="N377" s="7"/>
      <c r="O377" s="7"/>
      <c r="P377" s="8">
        <f t="shared" si="28"/>
        <v>0</v>
      </c>
      <c r="Q377" s="8">
        <f t="shared" si="29"/>
        <v>0</v>
      </c>
      <c r="R377" s="8">
        <f t="shared" si="30"/>
        <v>0</v>
      </c>
    </row>
    <row r="378" spans="1:18">
      <c r="A378" s="6"/>
      <c r="B378" t="str">
        <f t="shared" si="26"/>
        <v/>
      </c>
      <c r="C378" t="str">
        <f t="shared" si="27"/>
        <v/>
      </c>
      <c r="E378" t="str">
        <f>IFERROR(VLOOKUP(D378,Cadastro!$B$4:$H$100,2,FALSE),"")</f>
        <v/>
      </c>
      <c r="F378" t="str">
        <f>IFERROR(VLOOKUP(D378,Cadastro!$B$4:$H$100,3,FALSE),"")</f>
        <v/>
      </c>
      <c r="J378" s="7"/>
      <c r="K378" s="7"/>
      <c r="L378" s="7"/>
      <c r="M378" s="7"/>
      <c r="N378" s="7"/>
      <c r="O378" s="7"/>
      <c r="P378" s="8">
        <f t="shared" si="28"/>
        <v>0</v>
      </c>
      <c r="Q378" s="8">
        <f t="shared" si="29"/>
        <v>0</v>
      </c>
      <c r="R378" s="8">
        <f t="shared" si="30"/>
        <v>0</v>
      </c>
    </row>
    <row r="379" spans="1:18">
      <c r="A379" s="6"/>
      <c r="B379" t="str">
        <f t="shared" si="26"/>
        <v/>
      </c>
      <c r="C379" t="str">
        <f t="shared" si="27"/>
        <v/>
      </c>
      <c r="E379" t="str">
        <f>IFERROR(VLOOKUP(D379,Cadastro!$B$4:$H$100,2,FALSE),"")</f>
        <v/>
      </c>
      <c r="F379" t="str">
        <f>IFERROR(VLOOKUP(D379,Cadastro!$B$4:$H$100,3,FALSE),"")</f>
        <v/>
      </c>
      <c r="J379" s="7"/>
      <c r="K379" s="7"/>
      <c r="L379" s="7"/>
      <c r="M379" s="7"/>
      <c r="N379" s="7"/>
      <c r="O379" s="7"/>
      <c r="P379" s="8">
        <f t="shared" si="28"/>
        <v>0</v>
      </c>
      <c r="Q379" s="8">
        <f t="shared" si="29"/>
        <v>0</v>
      </c>
      <c r="R379" s="8">
        <f t="shared" si="30"/>
        <v>0</v>
      </c>
    </row>
    <row r="380" spans="1:18">
      <c r="A380" s="6"/>
      <c r="B380" t="str">
        <f t="shared" si="26"/>
        <v/>
      </c>
      <c r="C380" t="str">
        <f t="shared" si="27"/>
        <v/>
      </c>
      <c r="E380" t="str">
        <f>IFERROR(VLOOKUP(D380,Cadastro!$B$4:$H$100,2,FALSE),"")</f>
        <v/>
      </c>
      <c r="F380" t="str">
        <f>IFERROR(VLOOKUP(D380,Cadastro!$B$4:$H$100,3,FALSE),"")</f>
        <v/>
      </c>
      <c r="J380" s="7"/>
      <c r="K380" s="7"/>
      <c r="L380" s="7"/>
      <c r="M380" s="7"/>
      <c r="N380" s="7"/>
      <c r="O380" s="7"/>
      <c r="P380" s="8">
        <f t="shared" si="28"/>
        <v>0</v>
      </c>
      <c r="Q380" s="8">
        <f t="shared" si="29"/>
        <v>0</v>
      </c>
      <c r="R380" s="8">
        <f t="shared" si="30"/>
        <v>0</v>
      </c>
    </row>
    <row r="381" spans="1:18">
      <c r="A381" s="6"/>
      <c r="B381" t="str">
        <f t="shared" si="26"/>
        <v/>
      </c>
      <c r="C381" t="str">
        <f t="shared" si="27"/>
        <v/>
      </c>
      <c r="E381" t="str">
        <f>IFERROR(VLOOKUP(D381,Cadastro!$B$4:$H$100,2,FALSE),"")</f>
        <v/>
      </c>
      <c r="F381" t="str">
        <f>IFERROR(VLOOKUP(D381,Cadastro!$B$4:$H$100,3,FALSE),"")</f>
        <v/>
      </c>
      <c r="J381" s="7"/>
      <c r="K381" s="7"/>
      <c r="L381" s="7"/>
      <c r="M381" s="7"/>
      <c r="N381" s="7"/>
      <c r="O381" s="7"/>
      <c r="P381" s="8">
        <f t="shared" si="28"/>
        <v>0</v>
      </c>
      <c r="Q381" s="8">
        <f t="shared" si="29"/>
        <v>0</v>
      </c>
      <c r="R381" s="8">
        <f t="shared" si="30"/>
        <v>0</v>
      </c>
    </row>
    <row r="382" spans="1:18">
      <c r="A382" s="6"/>
      <c r="B382" t="str">
        <f t="shared" si="26"/>
        <v/>
      </c>
      <c r="C382" t="str">
        <f t="shared" si="27"/>
        <v/>
      </c>
      <c r="E382" t="str">
        <f>IFERROR(VLOOKUP(D382,Cadastro!$B$4:$H$100,2,FALSE),"")</f>
        <v/>
      </c>
      <c r="F382" t="str">
        <f>IFERROR(VLOOKUP(D382,Cadastro!$B$4:$H$100,3,FALSE),"")</f>
        <v/>
      </c>
      <c r="J382" s="7"/>
      <c r="K382" s="7"/>
      <c r="L382" s="7"/>
      <c r="M382" s="7"/>
      <c r="N382" s="7"/>
      <c r="O382" s="7"/>
      <c r="P382" s="8">
        <f t="shared" si="28"/>
        <v>0</v>
      </c>
      <c r="Q382" s="8">
        <f t="shared" si="29"/>
        <v>0</v>
      </c>
      <c r="R382" s="8">
        <f t="shared" si="30"/>
        <v>0</v>
      </c>
    </row>
    <row r="383" spans="1:18">
      <c r="A383" s="6"/>
      <c r="B383" t="str">
        <f t="shared" si="26"/>
        <v/>
      </c>
      <c r="C383" t="str">
        <f t="shared" si="27"/>
        <v/>
      </c>
      <c r="E383" t="str">
        <f>IFERROR(VLOOKUP(D383,Cadastro!$B$4:$H$100,2,FALSE),"")</f>
        <v/>
      </c>
      <c r="F383" t="str">
        <f>IFERROR(VLOOKUP(D383,Cadastro!$B$4:$H$100,3,FALSE),"")</f>
        <v/>
      </c>
      <c r="J383" s="7"/>
      <c r="K383" s="7"/>
      <c r="L383" s="7"/>
      <c r="M383" s="7"/>
      <c r="N383" s="7"/>
      <c r="O383" s="7"/>
      <c r="P383" s="8">
        <f t="shared" si="28"/>
        <v>0</v>
      </c>
      <c r="Q383" s="8">
        <f t="shared" si="29"/>
        <v>0</v>
      </c>
      <c r="R383" s="8">
        <f t="shared" si="30"/>
        <v>0</v>
      </c>
    </row>
    <row r="384" spans="1:18">
      <c r="A384" s="6"/>
      <c r="B384" t="str">
        <f t="shared" si="26"/>
        <v/>
      </c>
      <c r="C384" t="str">
        <f t="shared" si="27"/>
        <v/>
      </c>
      <c r="E384" t="str">
        <f>IFERROR(VLOOKUP(D384,Cadastro!$B$4:$H$100,2,FALSE),"")</f>
        <v/>
      </c>
      <c r="F384" t="str">
        <f>IFERROR(VLOOKUP(D384,Cadastro!$B$4:$H$100,3,FALSE),"")</f>
        <v/>
      </c>
      <c r="J384" s="7"/>
      <c r="K384" s="7"/>
      <c r="L384" s="7"/>
      <c r="M384" s="7"/>
      <c r="N384" s="7"/>
      <c r="O384" s="7"/>
      <c r="P384" s="8">
        <f t="shared" si="28"/>
        <v>0</v>
      </c>
      <c r="Q384" s="8">
        <f t="shared" si="29"/>
        <v>0</v>
      </c>
      <c r="R384" s="8">
        <f t="shared" si="30"/>
        <v>0</v>
      </c>
    </row>
    <row r="385" spans="1:18">
      <c r="A385" s="6"/>
      <c r="B385" t="str">
        <f t="shared" si="26"/>
        <v/>
      </c>
      <c r="C385" t="str">
        <f t="shared" si="27"/>
        <v/>
      </c>
      <c r="E385" t="str">
        <f>IFERROR(VLOOKUP(D385,Cadastro!$B$4:$H$100,2,FALSE),"")</f>
        <v/>
      </c>
      <c r="F385" t="str">
        <f>IFERROR(VLOOKUP(D385,Cadastro!$B$4:$H$100,3,FALSE),"")</f>
        <v/>
      </c>
      <c r="J385" s="7"/>
      <c r="K385" s="7"/>
      <c r="L385" s="7"/>
      <c r="M385" s="7"/>
      <c r="N385" s="7"/>
      <c r="O385" s="7"/>
      <c r="P385" s="8">
        <f t="shared" si="28"/>
        <v>0</v>
      </c>
      <c r="Q385" s="8">
        <f t="shared" si="29"/>
        <v>0</v>
      </c>
      <c r="R385" s="8">
        <f t="shared" si="30"/>
        <v>0</v>
      </c>
    </row>
    <row r="386" spans="1:18">
      <c r="A386" s="6"/>
      <c r="B386" t="str">
        <f t="shared" si="26"/>
        <v/>
      </c>
      <c r="C386" t="str">
        <f t="shared" si="27"/>
        <v/>
      </c>
      <c r="E386" t="str">
        <f>IFERROR(VLOOKUP(D386,Cadastro!$B$4:$H$100,2,FALSE),"")</f>
        <v/>
      </c>
      <c r="F386" t="str">
        <f>IFERROR(VLOOKUP(D386,Cadastro!$B$4:$H$100,3,FALSE),"")</f>
        <v/>
      </c>
      <c r="J386" s="7"/>
      <c r="K386" s="7"/>
      <c r="L386" s="7"/>
      <c r="M386" s="7"/>
      <c r="N386" s="7"/>
      <c r="O386" s="7"/>
      <c r="P386" s="8">
        <f t="shared" si="28"/>
        <v>0</v>
      </c>
      <c r="Q386" s="8">
        <f t="shared" si="29"/>
        <v>0</v>
      </c>
      <c r="R386" s="8">
        <f t="shared" si="30"/>
        <v>0</v>
      </c>
    </row>
    <row r="387" spans="1:18">
      <c r="A387" s="6"/>
      <c r="B387" t="str">
        <f t="shared" si="26"/>
        <v/>
      </c>
      <c r="C387" t="str">
        <f t="shared" si="27"/>
        <v/>
      </c>
      <c r="E387" t="str">
        <f>IFERROR(VLOOKUP(D387,Cadastro!$B$4:$H$100,2,FALSE),"")</f>
        <v/>
      </c>
      <c r="F387" t="str">
        <f>IFERROR(VLOOKUP(D387,Cadastro!$B$4:$H$100,3,FALSE),"")</f>
        <v/>
      </c>
      <c r="J387" s="7"/>
      <c r="K387" s="7"/>
      <c r="L387" s="7"/>
      <c r="M387" s="7"/>
      <c r="N387" s="7"/>
      <c r="O387" s="7"/>
      <c r="P387" s="8">
        <f t="shared" si="28"/>
        <v>0</v>
      </c>
      <c r="Q387" s="8">
        <f t="shared" si="29"/>
        <v>0</v>
      </c>
      <c r="R387" s="8">
        <f t="shared" si="30"/>
        <v>0</v>
      </c>
    </row>
    <row r="388" spans="1:18">
      <c r="A388" s="6"/>
      <c r="B388" t="str">
        <f t="shared" ref="B388:B451" si="31">IF(A388="","",YEAR(A388))</f>
        <v/>
      </c>
      <c r="C388" t="str">
        <f t="shared" ref="C388:C451" si="32">IF(A388="","",TEXT(A388,"mmmm"))</f>
        <v/>
      </c>
      <c r="E388" t="str">
        <f>IFERROR(VLOOKUP(D388,Cadastro!$B$4:$H$100,2,FALSE),"")</f>
        <v/>
      </c>
      <c r="F388" t="str">
        <f>IFERROR(VLOOKUP(D388,Cadastro!$B$4:$H$100,3,FALSE),"")</f>
        <v/>
      </c>
      <c r="J388" s="7"/>
      <c r="K388" s="7"/>
      <c r="L388" s="7"/>
      <c r="M388" s="7"/>
      <c r="N388" s="7"/>
      <c r="O388" s="7"/>
      <c r="P388" s="8">
        <f t="shared" ref="P388:P451" si="33">IF(OR(J388="",K388=""),0,(K388-J388)*24)+IF(OR(L388="",M388=""),0,(M388-L388)*24)+IF(OR(N388="",O388=""),0,(O388-N388)*24)</f>
        <v>0</v>
      </c>
      <c r="Q388" s="8">
        <f t="shared" ref="Q388:Q451" si="34">IF(OR(I388="Prática",I388="Teórico-prática"),P388,0)</f>
        <v>0</v>
      </c>
      <c r="R388" s="8">
        <f t="shared" ref="R388:R451" si="35">IF(OR(I388="Teórica",I388="Teórico-prática"),P388,0)</f>
        <v>0</v>
      </c>
    </row>
    <row r="389" spans="1:18">
      <c r="A389" s="6"/>
      <c r="B389" t="str">
        <f t="shared" si="31"/>
        <v/>
      </c>
      <c r="C389" t="str">
        <f t="shared" si="32"/>
        <v/>
      </c>
      <c r="E389" t="str">
        <f>IFERROR(VLOOKUP(D389,Cadastro!$B$4:$H$100,2,FALSE),"")</f>
        <v/>
      </c>
      <c r="F389" t="str">
        <f>IFERROR(VLOOKUP(D389,Cadastro!$B$4:$H$100,3,FALSE),"")</f>
        <v/>
      </c>
      <c r="J389" s="7"/>
      <c r="K389" s="7"/>
      <c r="L389" s="7"/>
      <c r="M389" s="7"/>
      <c r="N389" s="7"/>
      <c r="O389" s="7"/>
      <c r="P389" s="8">
        <f t="shared" si="33"/>
        <v>0</v>
      </c>
      <c r="Q389" s="8">
        <f t="shared" si="34"/>
        <v>0</v>
      </c>
      <c r="R389" s="8">
        <f t="shared" si="35"/>
        <v>0</v>
      </c>
    </row>
    <row r="390" spans="1:18">
      <c r="A390" s="6"/>
      <c r="B390" t="str">
        <f t="shared" si="31"/>
        <v/>
      </c>
      <c r="C390" t="str">
        <f t="shared" si="32"/>
        <v/>
      </c>
      <c r="E390" t="str">
        <f>IFERROR(VLOOKUP(D390,Cadastro!$B$4:$H$100,2,FALSE),"")</f>
        <v/>
      </c>
      <c r="F390" t="str">
        <f>IFERROR(VLOOKUP(D390,Cadastro!$B$4:$H$100,3,FALSE),"")</f>
        <v/>
      </c>
      <c r="J390" s="7"/>
      <c r="K390" s="7"/>
      <c r="L390" s="7"/>
      <c r="M390" s="7"/>
      <c r="N390" s="7"/>
      <c r="O390" s="7"/>
      <c r="P390" s="8">
        <f t="shared" si="33"/>
        <v>0</v>
      </c>
      <c r="Q390" s="8">
        <f t="shared" si="34"/>
        <v>0</v>
      </c>
      <c r="R390" s="8">
        <f t="shared" si="35"/>
        <v>0</v>
      </c>
    </row>
    <row r="391" spans="1:18">
      <c r="A391" s="6"/>
      <c r="B391" t="str">
        <f t="shared" si="31"/>
        <v/>
      </c>
      <c r="C391" t="str">
        <f t="shared" si="32"/>
        <v/>
      </c>
      <c r="E391" t="str">
        <f>IFERROR(VLOOKUP(D391,Cadastro!$B$4:$H$100,2,FALSE),"")</f>
        <v/>
      </c>
      <c r="F391" t="str">
        <f>IFERROR(VLOOKUP(D391,Cadastro!$B$4:$H$100,3,FALSE),"")</f>
        <v/>
      </c>
      <c r="J391" s="7"/>
      <c r="K391" s="7"/>
      <c r="L391" s="7"/>
      <c r="M391" s="7"/>
      <c r="N391" s="7"/>
      <c r="O391" s="7"/>
      <c r="P391" s="8">
        <f t="shared" si="33"/>
        <v>0</v>
      </c>
      <c r="Q391" s="8">
        <f t="shared" si="34"/>
        <v>0</v>
      </c>
      <c r="R391" s="8">
        <f t="shared" si="35"/>
        <v>0</v>
      </c>
    </row>
    <row r="392" spans="1:18">
      <c r="A392" s="6"/>
      <c r="B392" t="str">
        <f t="shared" si="31"/>
        <v/>
      </c>
      <c r="C392" t="str">
        <f t="shared" si="32"/>
        <v/>
      </c>
      <c r="E392" t="str">
        <f>IFERROR(VLOOKUP(D392,Cadastro!$B$4:$H$100,2,FALSE),"")</f>
        <v/>
      </c>
      <c r="F392" t="str">
        <f>IFERROR(VLOOKUP(D392,Cadastro!$B$4:$H$100,3,FALSE),"")</f>
        <v/>
      </c>
      <c r="J392" s="7"/>
      <c r="K392" s="7"/>
      <c r="L392" s="7"/>
      <c r="M392" s="7"/>
      <c r="N392" s="7"/>
      <c r="O392" s="7"/>
      <c r="P392" s="8">
        <f t="shared" si="33"/>
        <v>0</v>
      </c>
      <c r="Q392" s="8">
        <f t="shared" si="34"/>
        <v>0</v>
      </c>
      <c r="R392" s="8">
        <f t="shared" si="35"/>
        <v>0</v>
      </c>
    </row>
    <row r="393" spans="1:18">
      <c r="A393" s="6"/>
      <c r="B393" t="str">
        <f t="shared" si="31"/>
        <v/>
      </c>
      <c r="C393" t="str">
        <f t="shared" si="32"/>
        <v/>
      </c>
      <c r="E393" t="str">
        <f>IFERROR(VLOOKUP(D393,Cadastro!$B$4:$H$100,2,FALSE),"")</f>
        <v/>
      </c>
      <c r="F393" t="str">
        <f>IFERROR(VLOOKUP(D393,Cadastro!$B$4:$H$100,3,FALSE),"")</f>
        <v/>
      </c>
      <c r="J393" s="7"/>
      <c r="K393" s="7"/>
      <c r="L393" s="7"/>
      <c r="M393" s="7"/>
      <c r="N393" s="7"/>
      <c r="O393" s="7"/>
      <c r="P393" s="8">
        <f t="shared" si="33"/>
        <v>0</v>
      </c>
      <c r="Q393" s="8">
        <f t="shared" si="34"/>
        <v>0</v>
      </c>
      <c r="R393" s="8">
        <f t="shared" si="35"/>
        <v>0</v>
      </c>
    </row>
    <row r="394" spans="1:18">
      <c r="A394" s="6"/>
      <c r="B394" t="str">
        <f t="shared" si="31"/>
        <v/>
      </c>
      <c r="C394" t="str">
        <f t="shared" si="32"/>
        <v/>
      </c>
      <c r="E394" t="str">
        <f>IFERROR(VLOOKUP(D394,Cadastro!$B$4:$H$100,2,FALSE),"")</f>
        <v/>
      </c>
      <c r="F394" t="str">
        <f>IFERROR(VLOOKUP(D394,Cadastro!$B$4:$H$100,3,FALSE),"")</f>
        <v/>
      </c>
      <c r="J394" s="7"/>
      <c r="K394" s="7"/>
      <c r="L394" s="7"/>
      <c r="M394" s="7"/>
      <c r="N394" s="7"/>
      <c r="O394" s="7"/>
      <c r="P394" s="8">
        <f t="shared" si="33"/>
        <v>0</v>
      </c>
      <c r="Q394" s="8">
        <f t="shared" si="34"/>
        <v>0</v>
      </c>
      <c r="R394" s="8">
        <f t="shared" si="35"/>
        <v>0</v>
      </c>
    </row>
    <row r="395" spans="1:18">
      <c r="A395" s="6"/>
      <c r="B395" t="str">
        <f t="shared" si="31"/>
        <v/>
      </c>
      <c r="C395" t="str">
        <f t="shared" si="32"/>
        <v/>
      </c>
      <c r="E395" t="str">
        <f>IFERROR(VLOOKUP(D395,Cadastro!$B$4:$H$100,2,FALSE),"")</f>
        <v/>
      </c>
      <c r="F395" t="str">
        <f>IFERROR(VLOOKUP(D395,Cadastro!$B$4:$H$100,3,FALSE),"")</f>
        <v/>
      </c>
      <c r="J395" s="7"/>
      <c r="K395" s="7"/>
      <c r="L395" s="7"/>
      <c r="M395" s="7"/>
      <c r="N395" s="7"/>
      <c r="O395" s="7"/>
      <c r="P395" s="8">
        <f t="shared" si="33"/>
        <v>0</v>
      </c>
      <c r="Q395" s="8">
        <f t="shared" si="34"/>
        <v>0</v>
      </c>
      <c r="R395" s="8">
        <f t="shared" si="35"/>
        <v>0</v>
      </c>
    </row>
    <row r="396" spans="1:18">
      <c r="A396" s="6"/>
      <c r="B396" t="str">
        <f t="shared" si="31"/>
        <v/>
      </c>
      <c r="C396" t="str">
        <f t="shared" si="32"/>
        <v/>
      </c>
      <c r="E396" t="str">
        <f>IFERROR(VLOOKUP(D396,Cadastro!$B$4:$H$100,2,FALSE),"")</f>
        <v/>
      </c>
      <c r="F396" t="str">
        <f>IFERROR(VLOOKUP(D396,Cadastro!$B$4:$H$100,3,FALSE),"")</f>
        <v/>
      </c>
      <c r="J396" s="7"/>
      <c r="K396" s="7"/>
      <c r="L396" s="7"/>
      <c r="M396" s="7"/>
      <c r="N396" s="7"/>
      <c r="O396" s="7"/>
      <c r="P396" s="8">
        <f t="shared" si="33"/>
        <v>0</v>
      </c>
      <c r="Q396" s="8">
        <f t="shared" si="34"/>
        <v>0</v>
      </c>
      <c r="R396" s="8">
        <f t="shared" si="35"/>
        <v>0</v>
      </c>
    </row>
    <row r="397" spans="1:18">
      <c r="A397" s="6"/>
      <c r="B397" t="str">
        <f t="shared" si="31"/>
        <v/>
      </c>
      <c r="C397" t="str">
        <f t="shared" si="32"/>
        <v/>
      </c>
      <c r="E397" t="str">
        <f>IFERROR(VLOOKUP(D397,Cadastro!$B$4:$H$100,2,FALSE),"")</f>
        <v/>
      </c>
      <c r="F397" t="str">
        <f>IFERROR(VLOOKUP(D397,Cadastro!$B$4:$H$100,3,FALSE),"")</f>
        <v/>
      </c>
      <c r="J397" s="7"/>
      <c r="K397" s="7"/>
      <c r="L397" s="7"/>
      <c r="M397" s="7"/>
      <c r="N397" s="7"/>
      <c r="O397" s="7"/>
      <c r="P397" s="8">
        <f t="shared" si="33"/>
        <v>0</v>
      </c>
      <c r="Q397" s="8">
        <f t="shared" si="34"/>
        <v>0</v>
      </c>
      <c r="R397" s="8">
        <f t="shared" si="35"/>
        <v>0</v>
      </c>
    </row>
    <row r="398" spans="1:18">
      <c r="A398" s="6"/>
      <c r="B398" t="str">
        <f t="shared" si="31"/>
        <v/>
      </c>
      <c r="C398" t="str">
        <f t="shared" si="32"/>
        <v/>
      </c>
      <c r="E398" t="str">
        <f>IFERROR(VLOOKUP(D398,Cadastro!$B$4:$H$100,2,FALSE),"")</f>
        <v/>
      </c>
      <c r="F398" t="str">
        <f>IFERROR(VLOOKUP(D398,Cadastro!$B$4:$H$100,3,FALSE),"")</f>
        <v/>
      </c>
      <c r="J398" s="7"/>
      <c r="K398" s="7"/>
      <c r="L398" s="7"/>
      <c r="M398" s="7"/>
      <c r="N398" s="7"/>
      <c r="O398" s="7"/>
      <c r="P398" s="8">
        <f t="shared" si="33"/>
        <v>0</v>
      </c>
      <c r="Q398" s="8">
        <f t="shared" si="34"/>
        <v>0</v>
      </c>
      <c r="R398" s="8">
        <f t="shared" si="35"/>
        <v>0</v>
      </c>
    </row>
    <row r="399" spans="1:18">
      <c r="A399" s="6"/>
      <c r="B399" t="str">
        <f t="shared" si="31"/>
        <v/>
      </c>
      <c r="C399" t="str">
        <f t="shared" si="32"/>
        <v/>
      </c>
      <c r="E399" t="str">
        <f>IFERROR(VLOOKUP(D399,Cadastro!$B$4:$H$100,2,FALSE),"")</f>
        <v/>
      </c>
      <c r="F399" t="str">
        <f>IFERROR(VLOOKUP(D399,Cadastro!$B$4:$H$100,3,FALSE),"")</f>
        <v/>
      </c>
      <c r="J399" s="7"/>
      <c r="K399" s="7"/>
      <c r="L399" s="7"/>
      <c r="M399" s="7"/>
      <c r="N399" s="7"/>
      <c r="O399" s="7"/>
      <c r="P399" s="8">
        <f t="shared" si="33"/>
        <v>0</v>
      </c>
      <c r="Q399" s="8">
        <f t="shared" si="34"/>
        <v>0</v>
      </c>
      <c r="R399" s="8">
        <f t="shared" si="35"/>
        <v>0</v>
      </c>
    </row>
    <row r="400" spans="1:18">
      <c r="A400" s="6"/>
      <c r="B400" t="str">
        <f t="shared" si="31"/>
        <v/>
      </c>
      <c r="C400" t="str">
        <f t="shared" si="32"/>
        <v/>
      </c>
      <c r="E400" t="str">
        <f>IFERROR(VLOOKUP(D400,Cadastro!$B$4:$H$100,2,FALSE),"")</f>
        <v/>
      </c>
      <c r="F400" t="str">
        <f>IFERROR(VLOOKUP(D400,Cadastro!$B$4:$H$100,3,FALSE),"")</f>
        <v/>
      </c>
      <c r="J400" s="7"/>
      <c r="K400" s="7"/>
      <c r="L400" s="7"/>
      <c r="M400" s="7"/>
      <c r="N400" s="7"/>
      <c r="O400" s="7"/>
      <c r="P400" s="8">
        <f t="shared" si="33"/>
        <v>0</v>
      </c>
      <c r="Q400" s="8">
        <f t="shared" si="34"/>
        <v>0</v>
      </c>
      <c r="R400" s="8">
        <f t="shared" si="35"/>
        <v>0</v>
      </c>
    </row>
    <row r="401" spans="1:18">
      <c r="A401" s="6"/>
      <c r="B401" t="str">
        <f t="shared" si="31"/>
        <v/>
      </c>
      <c r="C401" t="str">
        <f t="shared" si="32"/>
        <v/>
      </c>
      <c r="E401" t="str">
        <f>IFERROR(VLOOKUP(D401,Cadastro!$B$4:$H$100,2,FALSE),"")</f>
        <v/>
      </c>
      <c r="F401" t="str">
        <f>IFERROR(VLOOKUP(D401,Cadastro!$B$4:$H$100,3,FALSE),"")</f>
        <v/>
      </c>
      <c r="J401" s="7"/>
      <c r="K401" s="7"/>
      <c r="L401" s="7"/>
      <c r="M401" s="7"/>
      <c r="N401" s="7"/>
      <c r="O401" s="7"/>
      <c r="P401" s="8">
        <f t="shared" si="33"/>
        <v>0</v>
      </c>
      <c r="Q401" s="8">
        <f t="shared" si="34"/>
        <v>0</v>
      </c>
      <c r="R401" s="8">
        <f t="shared" si="35"/>
        <v>0</v>
      </c>
    </row>
    <row r="402" spans="1:18">
      <c r="A402" s="6"/>
      <c r="B402" t="str">
        <f t="shared" si="31"/>
        <v/>
      </c>
      <c r="C402" t="str">
        <f t="shared" si="32"/>
        <v/>
      </c>
      <c r="E402" t="str">
        <f>IFERROR(VLOOKUP(D402,Cadastro!$B$4:$H$100,2,FALSE),"")</f>
        <v/>
      </c>
      <c r="F402" t="str">
        <f>IFERROR(VLOOKUP(D402,Cadastro!$B$4:$H$100,3,FALSE),"")</f>
        <v/>
      </c>
      <c r="J402" s="7"/>
      <c r="K402" s="7"/>
      <c r="L402" s="7"/>
      <c r="M402" s="7"/>
      <c r="N402" s="7"/>
      <c r="O402" s="7"/>
      <c r="P402" s="8">
        <f t="shared" si="33"/>
        <v>0</v>
      </c>
      <c r="Q402" s="8">
        <f t="shared" si="34"/>
        <v>0</v>
      </c>
      <c r="R402" s="8">
        <f t="shared" si="35"/>
        <v>0</v>
      </c>
    </row>
    <row r="403" spans="1:18">
      <c r="A403" s="6"/>
      <c r="B403" t="str">
        <f t="shared" si="31"/>
        <v/>
      </c>
      <c r="C403" t="str">
        <f t="shared" si="32"/>
        <v/>
      </c>
      <c r="E403" t="str">
        <f>IFERROR(VLOOKUP(D403,Cadastro!$B$4:$H$100,2,FALSE),"")</f>
        <v/>
      </c>
      <c r="F403" t="str">
        <f>IFERROR(VLOOKUP(D403,Cadastro!$B$4:$H$100,3,FALSE),"")</f>
        <v/>
      </c>
      <c r="J403" s="7"/>
      <c r="K403" s="7"/>
      <c r="L403" s="7"/>
      <c r="M403" s="7"/>
      <c r="N403" s="7"/>
      <c r="O403" s="7"/>
      <c r="P403" s="8">
        <f t="shared" si="33"/>
        <v>0</v>
      </c>
      <c r="Q403" s="8">
        <f t="shared" si="34"/>
        <v>0</v>
      </c>
      <c r="R403" s="8">
        <f t="shared" si="35"/>
        <v>0</v>
      </c>
    </row>
    <row r="404" spans="1:18">
      <c r="A404" s="6"/>
      <c r="B404" t="str">
        <f t="shared" si="31"/>
        <v/>
      </c>
      <c r="C404" t="str">
        <f t="shared" si="32"/>
        <v/>
      </c>
      <c r="E404" t="str">
        <f>IFERROR(VLOOKUP(D404,Cadastro!$B$4:$H$100,2,FALSE),"")</f>
        <v/>
      </c>
      <c r="F404" t="str">
        <f>IFERROR(VLOOKUP(D404,Cadastro!$B$4:$H$100,3,FALSE),"")</f>
        <v/>
      </c>
      <c r="J404" s="7"/>
      <c r="K404" s="7"/>
      <c r="L404" s="7"/>
      <c r="M404" s="7"/>
      <c r="N404" s="7"/>
      <c r="O404" s="7"/>
      <c r="P404" s="8">
        <f t="shared" si="33"/>
        <v>0</v>
      </c>
      <c r="Q404" s="8">
        <f t="shared" si="34"/>
        <v>0</v>
      </c>
      <c r="R404" s="8">
        <f t="shared" si="35"/>
        <v>0</v>
      </c>
    </row>
    <row r="405" spans="1:18">
      <c r="A405" s="6"/>
      <c r="B405" t="str">
        <f t="shared" si="31"/>
        <v/>
      </c>
      <c r="C405" t="str">
        <f t="shared" si="32"/>
        <v/>
      </c>
      <c r="E405" t="str">
        <f>IFERROR(VLOOKUP(D405,Cadastro!$B$4:$H$100,2,FALSE),"")</f>
        <v/>
      </c>
      <c r="F405" t="str">
        <f>IFERROR(VLOOKUP(D405,Cadastro!$B$4:$H$100,3,FALSE),"")</f>
        <v/>
      </c>
      <c r="J405" s="7"/>
      <c r="K405" s="7"/>
      <c r="L405" s="7"/>
      <c r="M405" s="7"/>
      <c r="N405" s="7"/>
      <c r="O405" s="7"/>
      <c r="P405" s="8">
        <f t="shared" si="33"/>
        <v>0</v>
      </c>
      <c r="Q405" s="8">
        <f t="shared" si="34"/>
        <v>0</v>
      </c>
      <c r="R405" s="8">
        <f t="shared" si="35"/>
        <v>0</v>
      </c>
    </row>
    <row r="406" spans="1:18">
      <c r="A406" s="6"/>
      <c r="B406" t="str">
        <f t="shared" si="31"/>
        <v/>
      </c>
      <c r="C406" t="str">
        <f t="shared" si="32"/>
        <v/>
      </c>
      <c r="E406" t="str">
        <f>IFERROR(VLOOKUP(D406,Cadastro!$B$4:$H$100,2,FALSE),"")</f>
        <v/>
      </c>
      <c r="F406" t="str">
        <f>IFERROR(VLOOKUP(D406,Cadastro!$B$4:$H$100,3,FALSE),"")</f>
        <v/>
      </c>
      <c r="J406" s="7"/>
      <c r="K406" s="7"/>
      <c r="L406" s="7"/>
      <c r="M406" s="7"/>
      <c r="N406" s="7"/>
      <c r="O406" s="7"/>
      <c r="P406" s="8">
        <f t="shared" si="33"/>
        <v>0</v>
      </c>
      <c r="Q406" s="8">
        <f t="shared" si="34"/>
        <v>0</v>
      </c>
      <c r="R406" s="8">
        <f t="shared" si="35"/>
        <v>0</v>
      </c>
    </row>
    <row r="407" spans="1:18">
      <c r="A407" s="6"/>
      <c r="B407" t="str">
        <f t="shared" si="31"/>
        <v/>
      </c>
      <c r="C407" t="str">
        <f t="shared" si="32"/>
        <v/>
      </c>
      <c r="E407" t="str">
        <f>IFERROR(VLOOKUP(D407,Cadastro!$B$4:$H$100,2,FALSE),"")</f>
        <v/>
      </c>
      <c r="F407" t="str">
        <f>IFERROR(VLOOKUP(D407,Cadastro!$B$4:$H$100,3,FALSE),"")</f>
        <v/>
      </c>
      <c r="J407" s="7"/>
      <c r="K407" s="7"/>
      <c r="L407" s="7"/>
      <c r="M407" s="7"/>
      <c r="N407" s="7"/>
      <c r="O407" s="7"/>
      <c r="P407" s="8">
        <f t="shared" si="33"/>
        <v>0</v>
      </c>
      <c r="Q407" s="8">
        <f t="shared" si="34"/>
        <v>0</v>
      </c>
      <c r="R407" s="8">
        <f t="shared" si="35"/>
        <v>0</v>
      </c>
    </row>
    <row r="408" spans="1:18">
      <c r="A408" s="6"/>
      <c r="B408" t="str">
        <f t="shared" si="31"/>
        <v/>
      </c>
      <c r="C408" t="str">
        <f t="shared" si="32"/>
        <v/>
      </c>
      <c r="E408" t="str">
        <f>IFERROR(VLOOKUP(D408,Cadastro!$B$4:$H$100,2,FALSE),"")</f>
        <v/>
      </c>
      <c r="F408" t="str">
        <f>IFERROR(VLOOKUP(D408,Cadastro!$B$4:$H$100,3,FALSE),"")</f>
        <v/>
      </c>
      <c r="J408" s="7"/>
      <c r="K408" s="7"/>
      <c r="L408" s="7"/>
      <c r="M408" s="7"/>
      <c r="N408" s="7"/>
      <c r="O408" s="7"/>
      <c r="P408" s="8">
        <f t="shared" si="33"/>
        <v>0</v>
      </c>
      <c r="Q408" s="8">
        <f t="shared" si="34"/>
        <v>0</v>
      </c>
      <c r="R408" s="8">
        <f t="shared" si="35"/>
        <v>0</v>
      </c>
    </row>
    <row r="409" spans="1:18">
      <c r="A409" s="6"/>
      <c r="B409" t="str">
        <f t="shared" si="31"/>
        <v/>
      </c>
      <c r="C409" t="str">
        <f t="shared" si="32"/>
        <v/>
      </c>
      <c r="E409" t="str">
        <f>IFERROR(VLOOKUP(D409,Cadastro!$B$4:$H$100,2,FALSE),"")</f>
        <v/>
      </c>
      <c r="F409" t="str">
        <f>IFERROR(VLOOKUP(D409,Cadastro!$B$4:$H$100,3,FALSE),"")</f>
        <v/>
      </c>
      <c r="J409" s="7"/>
      <c r="K409" s="7"/>
      <c r="L409" s="7"/>
      <c r="M409" s="7"/>
      <c r="N409" s="7"/>
      <c r="O409" s="7"/>
      <c r="P409" s="8">
        <f t="shared" si="33"/>
        <v>0</v>
      </c>
      <c r="Q409" s="8">
        <f t="shared" si="34"/>
        <v>0</v>
      </c>
      <c r="R409" s="8">
        <f t="shared" si="35"/>
        <v>0</v>
      </c>
    </row>
    <row r="410" spans="1:18">
      <c r="A410" s="6"/>
      <c r="B410" t="str">
        <f t="shared" si="31"/>
        <v/>
      </c>
      <c r="C410" t="str">
        <f t="shared" si="32"/>
        <v/>
      </c>
      <c r="E410" t="str">
        <f>IFERROR(VLOOKUP(D410,Cadastro!$B$4:$H$100,2,FALSE),"")</f>
        <v/>
      </c>
      <c r="F410" t="str">
        <f>IFERROR(VLOOKUP(D410,Cadastro!$B$4:$H$100,3,FALSE),"")</f>
        <v/>
      </c>
      <c r="J410" s="7"/>
      <c r="K410" s="7"/>
      <c r="L410" s="7"/>
      <c r="M410" s="7"/>
      <c r="N410" s="7"/>
      <c r="O410" s="7"/>
      <c r="P410" s="8">
        <f t="shared" si="33"/>
        <v>0</v>
      </c>
      <c r="Q410" s="8">
        <f t="shared" si="34"/>
        <v>0</v>
      </c>
      <c r="R410" s="8">
        <f t="shared" si="35"/>
        <v>0</v>
      </c>
    </row>
    <row r="411" spans="1:18">
      <c r="A411" s="6"/>
      <c r="B411" t="str">
        <f t="shared" si="31"/>
        <v/>
      </c>
      <c r="C411" t="str">
        <f t="shared" si="32"/>
        <v/>
      </c>
      <c r="E411" t="str">
        <f>IFERROR(VLOOKUP(D411,Cadastro!$B$4:$H$100,2,FALSE),"")</f>
        <v/>
      </c>
      <c r="F411" t="str">
        <f>IFERROR(VLOOKUP(D411,Cadastro!$B$4:$H$100,3,FALSE),"")</f>
        <v/>
      </c>
      <c r="J411" s="7"/>
      <c r="K411" s="7"/>
      <c r="L411" s="7"/>
      <c r="M411" s="7"/>
      <c r="N411" s="7"/>
      <c r="O411" s="7"/>
      <c r="P411" s="8">
        <f t="shared" si="33"/>
        <v>0</v>
      </c>
      <c r="Q411" s="8">
        <f t="shared" si="34"/>
        <v>0</v>
      </c>
      <c r="R411" s="8">
        <f t="shared" si="35"/>
        <v>0</v>
      </c>
    </row>
    <row r="412" spans="1:18">
      <c r="A412" s="6"/>
      <c r="B412" t="str">
        <f t="shared" si="31"/>
        <v/>
      </c>
      <c r="C412" t="str">
        <f t="shared" si="32"/>
        <v/>
      </c>
      <c r="E412" t="str">
        <f>IFERROR(VLOOKUP(D412,Cadastro!$B$4:$H$100,2,FALSE),"")</f>
        <v/>
      </c>
      <c r="F412" t="str">
        <f>IFERROR(VLOOKUP(D412,Cadastro!$B$4:$H$100,3,FALSE),"")</f>
        <v/>
      </c>
      <c r="J412" s="7"/>
      <c r="K412" s="7"/>
      <c r="L412" s="7"/>
      <c r="M412" s="7"/>
      <c r="N412" s="7"/>
      <c r="O412" s="7"/>
      <c r="P412" s="8">
        <f t="shared" si="33"/>
        <v>0</v>
      </c>
      <c r="Q412" s="8">
        <f t="shared" si="34"/>
        <v>0</v>
      </c>
      <c r="R412" s="8">
        <f t="shared" si="35"/>
        <v>0</v>
      </c>
    </row>
    <row r="413" spans="1:18">
      <c r="A413" s="6"/>
      <c r="B413" t="str">
        <f t="shared" si="31"/>
        <v/>
      </c>
      <c r="C413" t="str">
        <f t="shared" si="32"/>
        <v/>
      </c>
      <c r="E413" t="str">
        <f>IFERROR(VLOOKUP(D413,Cadastro!$B$4:$H$100,2,FALSE),"")</f>
        <v/>
      </c>
      <c r="F413" t="str">
        <f>IFERROR(VLOOKUP(D413,Cadastro!$B$4:$H$100,3,FALSE),"")</f>
        <v/>
      </c>
      <c r="J413" s="7"/>
      <c r="K413" s="7"/>
      <c r="L413" s="7"/>
      <c r="M413" s="7"/>
      <c r="N413" s="7"/>
      <c r="O413" s="7"/>
      <c r="P413" s="8">
        <f t="shared" si="33"/>
        <v>0</v>
      </c>
      <c r="Q413" s="8">
        <f t="shared" si="34"/>
        <v>0</v>
      </c>
      <c r="R413" s="8">
        <f t="shared" si="35"/>
        <v>0</v>
      </c>
    </row>
    <row r="414" spans="1:18">
      <c r="A414" s="6"/>
      <c r="B414" t="str">
        <f t="shared" si="31"/>
        <v/>
      </c>
      <c r="C414" t="str">
        <f t="shared" si="32"/>
        <v/>
      </c>
      <c r="E414" t="str">
        <f>IFERROR(VLOOKUP(D414,Cadastro!$B$4:$H$100,2,FALSE),"")</f>
        <v/>
      </c>
      <c r="F414" t="str">
        <f>IFERROR(VLOOKUP(D414,Cadastro!$B$4:$H$100,3,FALSE),"")</f>
        <v/>
      </c>
      <c r="J414" s="7"/>
      <c r="K414" s="7"/>
      <c r="L414" s="7"/>
      <c r="M414" s="7"/>
      <c r="N414" s="7"/>
      <c r="O414" s="7"/>
      <c r="P414" s="8">
        <f t="shared" si="33"/>
        <v>0</v>
      </c>
      <c r="Q414" s="8">
        <f t="shared" si="34"/>
        <v>0</v>
      </c>
      <c r="R414" s="8">
        <f t="shared" si="35"/>
        <v>0</v>
      </c>
    </row>
    <row r="415" spans="1:18">
      <c r="A415" s="6"/>
      <c r="B415" t="str">
        <f t="shared" si="31"/>
        <v/>
      </c>
      <c r="C415" t="str">
        <f t="shared" si="32"/>
        <v/>
      </c>
      <c r="E415" t="str">
        <f>IFERROR(VLOOKUP(D415,Cadastro!$B$4:$H$100,2,FALSE),"")</f>
        <v/>
      </c>
      <c r="F415" t="str">
        <f>IFERROR(VLOOKUP(D415,Cadastro!$B$4:$H$100,3,FALSE),"")</f>
        <v/>
      </c>
      <c r="J415" s="7"/>
      <c r="K415" s="7"/>
      <c r="L415" s="7"/>
      <c r="M415" s="7"/>
      <c r="N415" s="7"/>
      <c r="O415" s="7"/>
      <c r="P415" s="8">
        <f t="shared" si="33"/>
        <v>0</v>
      </c>
      <c r="Q415" s="8">
        <f t="shared" si="34"/>
        <v>0</v>
      </c>
      <c r="R415" s="8">
        <f t="shared" si="35"/>
        <v>0</v>
      </c>
    </row>
    <row r="416" spans="1:18">
      <c r="A416" s="6"/>
      <c r="B416" t="str">
        <f t="shared" si="31"/>
        <v/>
      </c>
      <c r="C416" t="str">
        <f t="shared" si="32"/>
        <v/>
      </c>
      <c r="E416" t="str">
        <f>IFERROR(VLOOKUP(D416,Cadastro!$B$4:$H$100,2,FALSE),"")</f>
        <v/>
      </c>
      <c r="F416" t="str">
        <f>IFERROR(VLOOKUP(D416,Cadastro!$B$4:$H$100,3,FALSE),"")</f>
        <v/>
      </c>
      <c r="J416" s="7"/>
      <c r="K416" s="7"/>
      <c r="L416" s="7"/>
      <c r="M416" s="7"/>
      <c r="N416" s="7"/>
      <c r="O416" s="7"/>
      <c r="P416" s="8">
        <f t="shared" si="33"/>
        <v>0</v>
      </c>
      <c r="Q416" s="8">
        <f t="shared" si="34"/>
        <v>0</v>
      </c>
      <c r="R416" s="8">
        <f t="shared" si="35"/>
        <v>0</v>
      </c>
    </row>
    <row r="417" spans="1:18">
      <c r="A417" s="6"/>
      <c r="B417" t="str">
        <f t="shared" si="31"/>
        <v/>
      </c>
      <c r="C417" t="str">
        <f t="shared" si="32"/>
        <v/>
      </c>
      <c r="E417" t="str">
        <f>IFERROR(VLOOKUP(D417,Cadastro!$B$4:$H$100,2,FALSE),"")</f>
        <v/>
      </c>
      <c r="F417" t="str">
        <f>IFERROR(VLOOKUP(D417,Cadastro!$B$4:$H$100,3,FALSE),"")</f>
        <v/>
      </c>
      <c r="J417" s="7"/>
      <c r="K417" s="7"/>
      <c r="L417" s="7"/>
      <c r="M417" s="7"/>
      <c r="N417" s="7"/>
      <c r="O417" s="7"/>
      <c r="P417" s="8">
        <f t="shared" si="33"/>
        <v>0</v>
      </c>
      <c r="Q417" s="8">
        <f t="shared" si="34"/>
        <v>0</v>
      </c>
      <c r="R417" s="8">
        <f t="shared" si="35"/>
        <v>0</v>
      </c>
    </row>
    <row r="418" spans="1:18">
      <c r="A418" s="6"/>
      <c r="B418" t="str">
        <f t="shared" si="31"/>
        <v/>
      </c>
      <c r="C418" t="str">
        <f t="shared" si="32"/>
        <v/>
      </c>
      <c r="E418" t="str">
        <f>IFERROR(VLOOKUP(D418,Cadastro!$B$4:$H$100,2,FALSE),"")</f>
        <v/>
      </c>
      <c r="F418" t="str">
        <f>IFERROR(VLOOKUP(D418,Cadastro!$B$4:$H$100,3,FALSE),"")</f>
        <v/>
      </c>
      <c r="J418" s="7"/>
      <c r="K418" s="7"/>
      <c r="L418" s="7"/>
      <c r="M418" s="7"/>
      <c r="N418" s="7"/>
      <c r="O418" s="7"/>
      <c r="P418" s="8">
        <f t="shared" si="33"/>
        <v>0</v>
      </c>
      <c r="Q418" s="8">
        <f t="shared" si="34"/>
        <v>0</v>
      </c>
      <c r="R418" s="8">
        <f t="shared" si="35"/>
        <v>0</v>
      </c>
    </row>
    <row r="419" spans="1:18">
      <c r="A419" s="6"/>
      <c r="B419" t="str">
        <f t="shared" si="31"/>
        <v/>
      </c>
      <c r="C419" t="str">
        <f t="shared" si="32"/>
        <v/>
      </c>
      <c r="E419" t="str">
        <f>IFERROR(VLOOKUP(D419,Cadastro!$B$4:$H$100,2,FALSE),"")</f>
        <v/>
      </c>
      <c r="F419" t="str">
        <f>IFERROR(VLOOKUP(D419,Cadastro!$B$4:$H$100,3,FALSE),"")</f>
        <v/>
      </c>
      <c r="J419" s="7"/>
      <c r="K419" s="7"/>
      <c r="L419" s="7"/>
      <c r="M419" s="7"/>
      <c r="N419" s="7"/>
      <c r="O419" s="7"/>
      <c r="P419" s="8">
        <f t="shared" si="33"/>
        <v>0</v>
      </c>
      <c r="Q419" s="8">
        <f t="shared" si="34"/>
        <v>0</v>
      </c>
      <c r="R419" s="8">
        <f t="shared" si="35"/>
        <v>0</v>
      </c>
    </row>
    <row r="420" spans="1:18">
      <c r="A420" s="6"/>
      <c r="B420" t="str">
        <f t="shared" si="31"/>
        <v/>
      </c>
      <c r="C420" t="str">
        <f t="shared" si="32"/>
        <v/>
      </c>
      <c r="E420" t="str">
        <f>IFERROR(VLOOKUP(D420,Cadastro!$B$4:$H$100,2,FALSE),"")</f>
        <v/>
      </c>
      <c r="F420" t="str">
        <f>IFERROR(VLOOKUP(D420,Cadastro!$B$4:$H$100,3,FALSE),"")</f>
        <v/>
      </c>
      <c r="J420" s="7"/>
      <c r="K420" s="7"/>
      <c r="L420" s="7"/>
      <c r="M420" s="7"/>
      <c r="N420" s="7"/>
      <c r="O420" s="7"/>
      <c r="P420" s="8">
        <f t="shared" si="33"/>
        <v>0</v>
      </c>
      <c r="Q420" s="8">
        <f t="shared" si="34"/>
        <v>0</v>
      </c>
      <c r="R420" s="8">
        <f t="shared" si="35"/>
        <v>0</v>
      </c>
    </row>
    <row r="421" spans="1:18">
      <c r="A421" s="6"/>
      <c r="B421" t="str">
        <f t="shared" si="31"/>
        <v/>
      </c>
      <c r="C421" t="str">
        <f t="shared" si="32"/>
        <v/>
      </c>
      <c r="E421" t="str">
        <f>IFERROR(VLOOKUP(D421,Cadastro!$B$4:$H$100,2,FALSE),"")</f>
        <v/>
      </c>
      <c r="F421" t="str">
        <f>IFERROR(VLOOKUP(D421,Cadastro!$B$4:$H$100,3,FALSE),"")</f>
        <v/>
      </c>
      <c r="J421" s="7"/>
      <c r="K421" s="7"/>
      <c r="L421" s="7"/>
      <c r="M421" s="7"/>
      <c r="N421" s="7"/>
      <c r="O421" s="7"/>
      <c r="P421" s="8">
        <f t="shared" si="33"/>
        <v>0</v>
      </c>
      <c r="Q421" s="8">
        <f t="shared" si="34"/>
        <v>0</v>
      </c>
      <c r="R421" s="8">
        <f t="shared" si="35"/>
        <v>0</v>
      </c>
    </row>
    <row r="422" spans="1:18">
      <c r="A422" s="6"/>
      <c r="B422" t="str">
        <f t="shared" si="31"/>
        <v/>
      </c>
      <c r="C422" t="str">
        <f t="shared" si="32"/>
        <v/>
      </c>
      <c r="E422" t="str">
        <f>IFERROR(VLOOKUP(D422,Cadastro!$B$4:$H$100,2,FALSE),"")</f>
        <v/>
      </c>
      <c r="F422" t="str">
        <f>IFERROR(VLOOKUP(D422,Cadastro!$B$4:$H$100,3,FALSE),"")</f>
        <v/>
      </c>
      <c r="J422" s="7"/>
      <c r="K422" s="7"/>
      <c r="L422" s="7"/>
      <c r="M422" s="7"/>
      <c r="N422" s="7"/>
      <c r="O422" s="7"/>
      <c r="P422" s="8">
        <f t="shared" si="33"/>
        <v>0</v>
      </c>
      <c r="Q422" s="8">
        <f t="shared" si="34"/>
        <v>0</v>
      </c>
      <c r="R422" s="8">
        <f t="shared" si="35"/>
        <v>0</v>
      </c>
    </row>
    <row r="423" spans="1:18">
      <c r="A423" s="6"/>
      <c r="B423" t="str">
        <f t="shared" si="31"/>
        <v/>
      </c>
      <c r="C423" t="str">
        <f t="shared" si="32"/>
        <v/>
      </c>
      <c r="E423" t="str">
        <f>IFERROR(VLOOKUP(D423,Cadastro!$B$4:$H$100,2,FALSE),"")</f>
        <v/>
      </c>
      <c r="F423" t="str">
        <f>IFERROR(VLOOKUP(D423,Cadastro!$B$4:$H$100,3,FALSE),"")</f>
        <v/>
      </c>
      <c r="J423" s="7"/>
      <c r="K423" s="7"/>
      <c r="L423" s="7"/>
      <c r="M423" s="7"/>
      <c r="N423" s="7"/>
      <c r="O423" s="7"/>
      <c r="P423" s="8">
        <f t="shared" si="33"/>
        <v>0</v>
      </c>
      <c r="Q423" s="8">
        <f t="shared" si="34"/>
        <v>0</v>
      </c>
      <c r="R423" s="8">
        <f t="shared" si="35"/>
        <v>0</v>
      </c>
    </row>
    <row r="424" spans="1:18">
      <c r="A424" s="6"/>
      <c r="B424" t="str">
        <f t="shared" si="31"/>
        <v/>
      </c>
      <c r="C424" t="str">
        <f t="shared" si="32"/>
        <v/>
      </c>
      <c r="E424" t="str">
        <f>IFERROR(VLOOKUP(D424,Cadastro!$B$4:$H$100,2,FALSE),"")</f>
        <v/>
      </c>
      <c r="F424" t="str">
        <f>IFERROR(VLOOKUP(D424,Cadastro!$B$4:$H$100,3,FALSE),"")</f>
        <v/>
      </c>
      <c r="J424" s="7"/>
      <c r="K424" s="7"/>
      <c r="L424" s="7"/>
      <c r="M424" s="7"/>
      <c r="N424" s="7"/>
      <c r="O424" s="7"/>
      <c r="P424" s="8">
        <f t="shared" si="33"/>
        <v>0</v>
      </c>
      <c r="Q424" s="8">
        <f t="shared" si="34"/>
        <v>0</v>
      </c>
      <c r="R424" s="8">
        <f t="shared" si="35"/>
        <v>0</v>
      </c>
    </row>
    <row r="425" spans="1:18">
      <c r="A425" s="6"/>
      <c r="B425" t="str">
        <f t="shared" si="31"/>
        <v/>
      </c>
      <c r="C425" t="str">
        <f t="shared" si="32"/>
        <v/>
      </c>
      <c r="E425" t="str">
        <f>IFERROR(VLOOKUP(D425,Cadastro!$B$4:$H$100,2,FALSE),"")</f>
        <v/>
      </c>
      <c r="F425" t="str">
        <f>IFERROR(VLOOKUP(D425,Cadastro!$B$4:$H$100,3,FALSE),"")</f>
        <v/>
      </c>
      <c r="J425" s="7"/>
      <c r="K425" s="7"/>
      <c r="L425" s="7"/>
      <c r="M425" s="7"/>
      <c r="N425" s="7"/>
      <c r="O425" s="7"/>
      <c r="P425" s="8">
        <f t="shared" si="33"/>
        <v>0</v>
      </c>
      <c r="Q425" s="8">
        <f t="shared" si="34"/>
        <v>0</v>
      </c>
      <c r="R425" s="8">
        <f t="shared" si="35"/>
        <v>0</v>
      </c>
    </row>
    <row r="426" spans="1:18">
      <c r="A426" s="6"/>
      <c r="B426" t="str">
        <f t="shared" si="31"/>
        <v/>
      </c>
      <c r="C426" t="str">
        <f t="shared" si="32"/>
        <v/>
      </c>
      <c r="E426" t="str">
        <f>IFERROR(VLOOKUP(D426,Cadastro!$B$4:$H$100,2,FALSE),"")</f>
        <v/>
      </c>
      <c r="F426" t="str">
        <f>IFERROR(VLOOKUP(D426,Cadastro!$B$4:$H$100,3,FALSE),"")</f>
        <v/>
      </c>
      <c r="J426" s="7"/>
      <c r="K426" s="7"/>
      <c r="L426" s="7"/>
      <c r="M426" s="7"/>
      <c r="N426" s="7"/>
      <c r="O426" s="7"/>
      <c r="P426" s="8">
        <f t="shared" si="33"/>
        <v>0</v>
      </c>
      <c r="Q426" s="8">
        <f t="shared" si="34"/>
        <v>0</v>
      </c>
      <c r="R426" s="8">
        <f t="shared" si="35"/>
        <v>0</v>
      </c>
    </row>
    <row r="427" spans="1:18">
      <c r="A427" s="6"/>
      <c r="B427" t="str">
        <f t="shared" si="31"/>
        <v/>
      </c>
      <c r="C427" t="str">
        <f t="shared" si="32"/>
        <v/>
      </c>
      <c r="E427" t="str">
        <f>IFERROR(VLOOKUP(D427,Cadastro!$B$4:$H$100,2,FALSE),"")</f>
        <v/>
      </c>
      <c r="F427" t="str">
        <f>IFERROR(VLOOKUP(D427,Cadastro!$B$4:$H$100,3,FALSE),"")</f>
        <v/>
      </c>
      <c r="J427" s="7"/>
      <c r="K427" s="7"/>
      <c r="L427" s="7"/>
      <c r="M427" s="7"/>
      <c r="N427" s="7"/>
      <c r="O427" s="7"/>
      <c r="P427" s="8">
        <f t="shared" si="33"/>
        <v>0</v>
      </c>
      <c r="Q427" s="8">
        <f t="shared" si="34"/>
        <v>0</v>
      </c>
      <c r="R427" s="8">
        <f t="shared" si="35"/>
        <v>0</v>
      </c>
    </row>
    <row r="428" spans="1:18">
      <c r="A428" s="6"/>
      <c r="B428" t="str">
        <f t="shared" si="31"/>
        <v/>
      </c>
      <c r="C428" t="str">
        <f t="shared" si="32"/>
        <v/>
      </c>
      <c r="E428" t="str">
        <f>IFERROR(VLOOKUP(D428,Cadastro!$B$4:$H$100,2,FALSE),"")</f>
        <v/>
      </c>
      <c r="F428" t="str">
        <f>IFERROR(VLOOKUP(D428,Cadastro!$B$4:$H$100,3,FALSE),"")</f>
        <v/>
      </c>
      <c r="J428" s="7"/>
      <c r="K428" s="7"/>
      <c r="L428" s="7"/>
      <c r="M428" s="7"/>
      <c r="N428" s="7"/>
      <c r="O428" s="7"/>
      <c r="P428" s="8">
        <f t="shared" si="33"/>
        <v>0</v>
      </c>
      <c r="Q428" s="8">
        <f t="shared" si="34"/>
        <v>0</v>
      </c>
      <c r="R428" s="8">
        <f t="shared" si="35"/>
        <v>0</v>
      </c>
    </row>
    <row r="429" spans="1:18">
      <c r="A429" s="6"/>
      <c r="B429" t="str">
        <f t="shared" si="31"/>
        <v/>
      </c>
      <c r="C429" t="str">
        <f t="shared" si="32"/>
        <v/>
      </c>
      <c r="E429" t="str">
        <f>IFERROR(VLOOKUP(D429,Cadastro!$B$4:$H$100,2,FALSE),"")</f>
        <v/>
      </c>
      <c r="F429" t="str">
        <f>IFERROR(VLOOKUP(D429,Cadastro!$B$4:$H$100,3,FALSE),"")</f>
        <v/>
      </c>
      <c r="J429" s="7"/>
      <c r="K429" s="7"/>
      <c r="L429" s="7"/>
      <c r="M429" s="7"/>
      <c r="N429" s="7"/>
      <c r="O429" s="7"/>
      <c r="P429" s="8">
        <f t="shared" si="33"/>
        <v>0</v>
      </c>
      <c r="Q429" s="8">
        <f t="shared" si="34"/>
        <v>0</v>
      </c>
      <c r="R429" s="8">
        <f t="shared" si="35"/>
        <v>0</v>
      </c>
    </row>
    <row r="430" spans="1:18">
      <c r="A430" s="6"/>
      <c r="B430" t="str">
        <f t="shared" si="31"/>
        <v/>
      </c>
      <c r="C430" t="str">
        <f t="shared" si="32"/>
        <v/>
      </c>
      <c r="E430" t="str">
        <f>IFERROR(VLOOKUP(D430,Cadastro!$B$4:$H$100,2,FALSE),"")</f>
        <v/>
      </c>
      <c r="F430" t="str">
        <f>IFERROR(VLOOKUP(D430,Cadastro!$B$4:$H$100,3,FALSE),"")</f>
        <v/>
      </c>
      <c r="J430" s="7"/>
      <c r="K430" s="7"/>
      <c r="L430" s="7"/>
      <c r="M430" s="7"/>
      <c r="N430" s="7"/>
      <c r="O430" s="7"/>
      <c r="P430" s="8">
        <f t="shared" si="33"/>
        <v>0</v>
      </c>
      <c r="Q430" s="8">
        <f t="shared" si="34"/>
        <v>0</v>
      </c>
      <c r="R430" s="8">
        <f t="shared" si="35"/>
        <v>0</v>
      </c>
    </row>
    <row r="431" spans="1:18">
      <c r="A431" s="6"/>
      <c r="B431" t="str">
        <f t="shared" si="31"/>
        <v/>
      </c>
      <c r="C431" t="str">
        <f t="shared" si="32"/>
        <v/>
      </c>
      <c r="E431" t="str">
        <f>IFERROR(VLOOKUP(D431,Cadastro!$B$4:$H$100,2,FALSE),"")</f>
        <v/>
      </c>
      <c r="F431" t="str">
        <f>IFERROR(VLOOKUP(D431,Cadastro!$B$4:$H$100,3,FALSE),"")</f>
        <v/>
      </c>
      <c r="J431" s="7"/>
      <c r="K431" s="7"/>
      <c r="L431" s="7"/>
      <c r="M431" s="7"/>
      <c r="N431" s="7"/>
      <c r="O431" s="7"/>
      <c r="P431" s="8">
        <f t="shared" si="33"/>
        <v>0</v>
      </c>
      <c r="Q431" s="8">
        <f t="shared" si="34"/>
        <v>0</v>
      </c>
      <c r="R431" s="8">
        <f t="shared" si="35"/>
        <v>0</v>
      </c>
    </row>
    <row r="432" spans="1:18">
      <c r="A432" s="6"/>
      <c r="B432" t="str">
        <f t="shared" si="31"/>
        <v/>
      </c>
      <c r="C432" t="str">
        <f t="shared" si="32"/>
        <v/>
      </c>
      <c r="E432" t="str">
        <f>IFERROR(VLOOKUP(D432,Cadastro!$B$4:$H$100,2,FALSE),"")</f>
        <v/>
      </c>
      <c r="F432" t="str">
        <f>IFERROR(VLOOKUP(D432,Cadastro!$B$4:$H$100,3,FALSE),"")</f>
        <v/>
      </c>
      <c r="J432" s="7"/>
      <c r="K432" s="7"/>
      <c r="L432" s="7"/>
      <c r="M432" s="7"/>
      <c r="N432" s="7"/>
      <c r="O432" s="7"/>
      <c r="P432" s="8">
        <f t="shared" si="33"/>
        <v>0</v>
      </c>
      <c r="Q432" s="8">
        <f t="shared" si="34"/>
        <v>0</v>
      </c>
      <c r="R432" s="8">
        <f t="shared" si="35"/>
        <v>0</v>
      </c>
    </row>
    <row r="433" spans="1:18">
      <c r="A433" s="6"/>
      <c r="B433" t="str">
        <f t="shared" si="31"/>
        <v/>
      </c>
      <c r="C433" t="str">
        <f t="shared" si="32"/>
        <v/>
      </c>
      <c r="E433" t="str">
        <f>IFERROR(VLOOKUP(D433,Cadastro!$B$4:$H$100,2,FALSE),"")</f>
        <v/>
      </c>
      <c r="F433" t="str">
        <f>IFERROR(VLOOKUP(D433,Cadastro!$B$4:$H$100,3,FALSE),"")</f>
        <v/>
      </c>
      <c r="J433" s="7"/>
      <c r="K433" s="7"/>
      <c r="L433" s="7"/>
      <c r="M433" s="7"/>
      <c r="N433" s="7"/>
      <c r="O433" s="7"/>
      <c r="P433" s="8">
        <f t="shared" si="33"/>
        <v>0</v>
      </c>
      <c r="Q433" s="8">
        <f t="shared" si="34"/>
        <v>0</v>
      </c>
      <c r="R433" s="8">
        <f t="shared" si="35"/>
        <v>0</v>
      </c>
    </row>
    <row r="434" spans="1:18">
      <c r="A434" s="6"/>
      <c r="B434" t="str">
        <f t="shared" si="31"/>
        <v/>
      </c>
      <c r="C434" t="str">
        <f t="shared" si="32"/>
        <v/>
      </c>
      <c r="E434" t="str">
        <f>IFERROR(VLOOKUP(D434,Cadastro!$B$4:$H$100,2,FALSE),"")</f>
        <v/>
      </c>
      <c r="F434" t="str">
        <f>IFERROR(VLOOKUP(D434,Cadastro!$B$4:$H$100,3,FALSE),"")</f>
        <v/>
      </c>
      <c r="J434" s="7"/>
      <c r="K434" s="7"/>
      <c r="L434" s="7"/>
      <c r="M434" s="7"/>
      <c r="N434" s="7"/>
      <c r="O434" s="7"/>
      <c r="P434" s="8">
        <f t="shared" si="33"/>
        <v>0</v>
      </c>
      <c r="Q434" s="8">
        <f t="shared" si="34"/>
        <v>0</v>
      </c>
      <c r="R434" s="8">
        <f t="shared" si="35"/>
        <v>0</v>
      </c>
    </row>
    <row r="435" spans="1:18">
      <c r="A435" s="6"/>
      <c r="B435" t="str">
        <f t="shared" si="31"/>
        <v/>
      </c>
      <c r="C435" t="str">
        <f t="shared" si="32"/>
        <v/>
      </c>
      <c r="E435" t="str">
        <f>IFERROR(VLOOKUP(D435,Cadastro!$B$4:$H$100,2,FALSE),"")</f>
        <v/>
      </c>
      <c r="F435" t="str">
        <f>IFERROR(VLOOKUP(D435,Cadastro!$B$4:$H$100,3,FALSE),"")</f>
        <v/>
      </c>
      <c r="J435" s="7"/>
      <c r="K435" s="7"/>
      <c r="L435" s="7"/>
      <c r="M435" s="7"/>
      <c r="N435" s="7"/>
      <c r="O435" s="7"/>
      <c r="P435" s="8">
        <f t="shared" si="33"/>
        <v>0</v>
      </c>
      <c r="Q435" s="8">
        <f t="shared" si="34"/>
        <v>0</v>
      </c>
      <c r="R435" s="8">
        <f t="shared" si="35"/>
        <v>0</v>
      </c>
    </row>
    <row r="436" spans="1:18">
      <c r="A436" s="6"/>
      <c r="B436" t="str">
        <f t="shared" si="31"/>
        <v/>
      </c>
      <c r="C436" t="str">
        <f t="shared" si="32"/>
        <v/>
      </c>
      <c r="E436" t="str">
        <f>IFERROR(VLOOKUP(D436,Cadastro!$B$4:$H$100,2,FALSE),"")</f>
        <v/>
      </c>
      <c r="F436" t="str">
        <f>IFERROR(VLOOKUP(D436,Cadastro!$B$4:$H$100,3,FALSE),"")</f>
        <v/>
      </c>
      <c r="J436" s="7"/>
      <c r="K436" s="7"/>
      <c r="L436" s="7"/>
      <c r="M436" s="7"/>
      <c r="N436" s="7"/>
      <c r="O436" s="7"/>
      <c r="P436" s="8">
        <f t="shared" si="33"/>
        <v>0</v>
      </c>
      <c r="Q436" s="8">
        <f t="shared" si="34"/>
        <v>0</v>
      </c>
      <c r="R436" s="8">
        <f t="shared" si="35"/>
        <v>0</v>
      </c>
    </row>
    <row r="437" spans="1:18">
      <c r="A437" s="6"/>
      <c r="B437" t="str">
        <f t="shared" si="31"/>
        <v/>
      </c>
      <c r="C437" t="str">
        <f t="shared" si="32"/>
        <v/>
      </c>
      <c r="E437" t="str">
        <f>IFERROR(VLOOKUP(D437,Cadastro!$B$4:$H$100,2,FALSE),"")</f>
        <v/>
      </c>
      <c r="F437" t="str">
        <f>IFERROR(VLOOKUP(D437,Cadastro!$B$4:$H$100,3,FALSE),"")</f>
        <v/>
      </c>
      <c r="J437" s="7"/>
      <c r="K437" s="7"/>
      <c r="L437" s="7"/>
      <c r="M437" s="7"/>
      <c r="N437" s="7"/>
      <c r="O437" s="7"/>
      <c r="P437" s="8">
        <f t="shared" si="33"/>
        <v>0</v>
      </c>
      <c r="Q437" s="8">
        <f t="shared" si="34"/>
        <v>0</v>
      </c>
      <c r="R437" s="8">
        <f t="shared" si="35"/>
        <v>0</v>
      </c>
    </row>
    <row r="438" spans="1:18">
      <c r="A438" s="6"/>
      <c r="B438" t="str">
        <f t="shared" si="31"/>
        <v/>
      </c>
      <c r="C438" t="str">
        <f t="shared" si="32"/>
        <v/>
      </c>
      <c r="E438" t="str">
        <f>IFERROR(VLOOKUP(D438,Cadastro!$B$4:$H$100,2,FALSE),"")</f>
        <v/>
      </c>
      <c r="F438" t="str">
        <f>IFERROR(VLOOKUP(D438,Cadastro!$B$4:$H$100,3,FALSE),"")</f>
        <v/>
      </c>
      <c r="J438" s="7"/>
      <c r="K438" s="7"/>
      <c r="L438" s="7"/>
      <c r="M438" s="7"/>
      <c r="N438" s="7"/>
      <c r="O438" s="7"/>
      <c r="P438" s="8">
        <f t="shared" si="33"/>
        <v>0</v>
      </c>
      <c r="Q438" s="8">
        <f t="shared" si="34"/>
        <v>0</v>
      </c>
      <c r="R438" s="8">
        <f t="shared" si="35"/>
        <v>0</v>
      </c>
    </row>
    <row r="439" spans="1:18">
      <c r="A439" s="6"/>
      <c r="B439" t="str">
        <f t="shared" si="31"/>
        <v/>
      </c>
      <c r="C439" t="str">
        <f t="shared" si="32"/>
        <v/>
      </c>
      <c r="E439" t="str">
        <f>IFERROR(VLOOKUP(D439,Cadastro!$B$4:$H$100,2,FALSE),"")</f>
        <v/>
      </c>
      <c r="F439" t="str">
        <f>IFERROR(VLOOKUP(D439,Cadastro!$B$4:$H$100,3,FALSE),"")</f>
        <v/>
      </c>
      <c r="J439" s="7"/>
      <c r="K439" s="7"/>
      <c r="L439" s="7"/>
      <c r="M439" s="7"/>
      <c r="N439" s="7"/>
      <c r="O439" s="7"/>
      <c r="P439" s="8">
        <f t="shared" si="33"/>
        <v>0</v>
      </c>
      <c r="Q439" s="8">
        <f t="shared" si="34"/>
        <v>0</v>
      </c>
      <c r="R439" s="8">
        <f t="shared" si="35"/>
        <v>0</v>
      </c>
    </row>
    <row r="440" spans="1:18">
      <c r="A440" s="6"/>
      <c r="B440" t="str">
        <f t="shared" si="31"/>
        <v/>
      </c>
      <c r="C440" t="str">
        <f t="shared" si="32"/>
        <v/>
      </c>
      <c r="E440" t="str">
        <f>IFERROR(VLOOKUP(D440,Cadastro!$B$4:$H$100,2,FALSE),"")</f>
        <v/>
      </c>
      <c r="F440" t="str">
        <f>IFERROR(VLOOKUP(D440,Cadastro!$B$4:$H$100,3,FALSE),"")</f>
        <v/>
      </c>
      <c r="J440" s="7"/>
      <c r="K440" s="7"/>
      <c r="L440" s="7"/>
      <c r="M440" s="7"/>
      <c r="N440" s="7"/>
      <c r="O440" s="7"/>
      <c r="P440" s="8">
        <f t="shared" si="33"/>
        <v>0</v>
      </c>
      <c r="Q440" s="8">
        <f t="shared" si="34"/>
        <v>0</v>
      </c>
      <c r="R440" s="8">
        <f t="shared" si="35"/>
        <v>0</v>
      </c>
    </row>
    <row r="441" spans="1:18">
      <c r="A441" s="6"/>
      <c r="B441" t="str">
        <f t="shared" si="31"/>
        <v/>
      </c>
      <c r="C441" t="str">
        <f t="shared" si="32"/>
        <v/>
      </c>
      <c r="E441" t="str">
        <f>IFERROR(VLOOKUP(D441,Cadastro!$B$4:$H$100,2,FALSE),"")</f>
        <v/>
      </c>
      <c r="F441" t="str">
        <f>IFERROR(VLOOKUP(D441,Cadastro!$B$4:$H$100,3,FALSE),"")</f>
        <v/>
      </c>
      <c r="J441" s="7"/>
      <c r="K441" s="7"/>
      <c r="L441" s="7"/>
      <c r="M441" s="7"/>
      <c r="N441" s="7"/>
      <c r="O441" s="7"/>
      <c r="P441" s="8">
        <f t="shared" si="33"/>
        <v>0</v>
      </c>
      <c r="Q441" s="8">
        <f t="shared" si="34"/>
        <v>0</v>
      </c>
      <c r="R441" s="8">
        <f t="shared" si="35"/>
        <v>0</v>
      </c>
    </row>
    <row r="442" spans="1:18">
      <c r="A442" s="6"/>
      <c r="B442" t="str">
        <f t="shared" si="31"/>
        <v/>
      </c>
      <c r="C442" t="str">
        <f t="shared" si="32"/>
        <v/>
      </c>
      <c r="E442" t="str">
        <f>IFERROR(VLOOKUP(D442,Cadastro!$B$4:$H$100,2,FALSE),"")</f>
        <v/>
      </c>
      <c r="F442" t="str">
        <f>IFERROR(VLOOKUP(D442,Cadastro!$B$4:$H$100,3,FALSE),"")</f>
        <v/>
      </c>
      <c r="J442" s="7"/>
      <c r="K442" s="7"/>
      <c r="L442" s="7"/>
      <c r="M442" s="7"/>
      <c r="N442" s="7"/>
      <c r="O442" s="7"/>
      <c r="P442" s="8">
        <f t="shared" si="33"/>
        <v>0</v>
      </c>
      <c r="Q442" s="8">
        <f t="shared" si="34"/>
        <v>0</v>
      </c>
      <c r="R442" s="8">
        <f t="shared" si="35"/>
        <v>0</v>
      </c>
    </row>
    <row r="443" spans="1:18">
      <c r="A443" s="6"/>
      <c r="B443" t="str">
        <f t="shared" si="31"/>
        <v/>
      </c>
      <c r="C443" t="str">
        <f t="shared" si="32"/>
        <v/>
      </c>
      <c r="E443" t="str">
        <f>IFERROR(VLOOKUP(D443,Cadastro!$B$4:$H$100,2,FALSE),"")</f>
        <v/>
      </c>
      <c r="F443" t="str">
        <f>IFERROR(VLOOKUP(D443,Cadastro!$B$4:$H$100,3,FALSE),"")</f>
        <v/>
      </c>
      <c r="J443" s="7"/>
      <c r="K443" s="7"/>
      <c r="L443" s="7"/>
      <c r="M443" s="7"/>
      <c r="N443" s="7"/>
      <c r="O443" s="7"/>
      <c r="P443" s="8">
        <f t="shared" si="33"/>
        <v>0</v>
      </c>
      <c r="Q443" s="8">
        <f t="shared" si="34"/>
        <v>0</v>
      </c>
      <c r="R443" s="8">
        <f t="shared" si="35"/>
        <v>0</v>
      </c>
    </row>
    <row r="444" spans="1:18">
      <c r="A444" s="6"/>
      <c r="B444" t="str">
        <f t="shared" si="31"/>
        <v/>
      </c>
      <c r="C444" t="str">
        <f t="shared" si="32"/>
        <v/>
      </c>
      <c r="E444" t="str">
        <f>IFERROR(VLOOKUP(D444,Cadastro!$B$4:$H$100,2,FALSE),"")</f>
        <v/>
      </c>
      <c r="F444" t="str">
        <f>IFERROR(VLOOKUP(D444,Cadastro!$B$4:$H$100,3,FALSE),"")</f>
        <v/>
      </c>
      <c r="J444" s="7"/>
      <c r="K444" s="7"/>
      <c r="L444" s="7"/>
      <c r="M444" s="7"/>
      <c r="N444" s="7"/>
      <c r="O444" s="7"/>
      <c r="P444" s="8">
        <f t="shared" si="33"/>
        <v>0</v>
      </c>
      <c r="Q444" s="8">
        <f t="shared" si="34"/>
        <v>0</v>
      </c>
      <c r="R444" s="8">
        <f t="shared" si="35"/>
        <v>0</v>
      </c>
    </row>
    <row r="445" spans="1:18">
      <c r="A445" s="6"/>
      <c r="B445" t="str">
        <f t="shared" si="31"/>
        <v/>
      </c>
      <c r="C445" t="str">
        <f t="shared" si="32"/>
        <v/>
      </c>
      <c r="E445" t="str">
        <f>IFERROR(VLOOKUP(D445,Cadastro!$B$4:$H$100,2,FALSE),"")</f>
        <v/>
      </c>
      <c r="F445" t="str">
        <f>IFERROR(VLOOKUP(D445,Cadastro!$B$4:$H$100,3,FALSE),"")</f>
        <v/>
      </c>
      <c r="J445" s="7"/>
      <c r="K445" s="7"/>
      <c r="L445" s="7"/>
      <c r="M445" s="7"/>
      <c r="N445" s="7"/>
      <c r="O445" s="7"/>
      <c r="P445" s="8">
        <f t="shared" si="33"/>
        <v>0</v>
      </c>
      <c r="Q445" s="8">
        <f t="shared" si="34"/>
        <v>0</v>
      </c>
      <c r="R445" s="8">
        <f t="shared" si="35"/>
        <v>0</v>
      </c>
    </row>
    <row r="446" spans="1:18">
      <c r="A446" s="6"/>
      <c r="B446" t="str">
        <f t="shared" si="31"/>
        <v/>
      </c>
      <c r="C446" t="str">
        <f t="shared" si="32"/>
        <v/>
      </c>
      <c r="E446" t="str">
        <f>IFERROR(VLOOKUP(D446,Cadastro!$B$4:$H$100,2,FALSE),"")</f>
        <v/>
      </c>
      <c r="F446" t="str">
        <f>IFERROR(VLOOKUP(D446,Cadastro!$B$4:$H$100,3,FALSE),"")</f>
        <v/>
      </c>
      <c r="J446" s="7"/>
      <c r="K446" s="7"/>
      <c r="L446" s="7"/>
      <c r="M446" s="7"/>
      <c r="N446" s="7"/>
      <c r="O446" s="7"/>
      <c r="P446" s="8">
        <f t="shared" si="33"/>
        <v>0</v>
      </c>
      <c r="Q446" s="8">
        <f t="shared" si="34"/>
        <v>0</v>
      </c>
      <c r="R446" s="8">
        <f t="shared" si="35"/>
        <v>0</v>
      </c>
    </row>
    <row r="447" spans="1:18">
      <c r="A447" s="6"/>
      <c r="B447" t="str">
        <f t="shared" si="31"/>
        <v/>
      </c>
      <c r="C447" t="str">
        <f t="shared" si="32"/>
        <v/>
      </c>
      <c r="E447" t="str">
        <f>IFERROR(VLOOKUP(D447,Cadastro!$B$4:$H$100,2,FALSE),"")</f>
        <v/>
      </c>
      <c r="F447" t="str">
        <f>IFERROR(VLOOKUP(D447,Cadastro!$B$4:$H$100,3,FALSE),"")</f>
        <v/>
      </c>
      <c r="J447" s="7"/>
      <c r="K447" s="7"/>
      <c r="L447" s="7"/>
      <c r="M447" s="7"/>
      <c r="N447" s="7"/>
      <c r="O447" s="7"/>
      <c r="P447" s="8">
        <f t="shared" si="33"/>
        <v>0</v>
      </c>
      <c r="Q447" s="8">
        <f t="shared" si="34"/>
        <v>0</v>
      </c>
      <c r="R447" s="8">
        <f t="shared" si="35"/>
        <v>0</v>
      </c>
    </row>
    <row r="448" spans="1:18">
      <c r="A448" s="6"/>
      <c r="B448" t="str">
        <f t="shared" si="31"/>
        <v/>
      </c>
      <c r="C448" t="str">
        <f t="shared" si="32"/>
        <v/>
      </c>
      <c r="E448" t="str">
        <f>IFERROR(VLOOKUP(D448,Cadastro!$B$4:$H$100,2,FALSE),"")</f>
        <v/>
      </c>
      <c r="F448" t="str">
        <f>IFERROR(VLOOKUP(D448,Cadastro!$B$4:$H$100,3,FALSE),"")</f>
        <v/>
      </c>
      <c r="J448" s="7"/>
      <c r="K448" s="7"/>
      <c r="L448" s="7"/>
      <c r="M448" s="7"/>
      <c r="N448" s="7"/>
      <c r="O448" s="7"/>
      <c r="P448" s="8">
        <f t="shared" si="33"/>
        <v>0</v>
      </c>
      <c r="Q448" s="8">
        <f t="shared" si="34"/>
        <v>0</v>
      </c>
      <c r="R448" s="8">
        <f t="shared" si="35"/>
        <v>0</v>
      </c>
    </row>
    <row r="449" spans="1:18">
      <c r="A449" s="6"/>
      <c r="B449" t="str">
        <f t="shared" si="31"/>
        <v/>
      </c>
      <c r="C449" t="str">
        <f t="shared" si="32"/>
        <v/>
      </c>
      <c r="E449" t="str">
        <f>IFERROR(VLOOKUP(D449,Cadastro!$B$4:$H$100,2,FALSE),"")</f>
        <v/>
      </c>
      <c r="F449" t="str">
        <f>IFERROR(VLOOKUP(D449,Cadastro!$B$4:$H$100,3,FALSE),"")</f>
        <v/>
      </c>
      <c r="J449" s="7"/>
      <c r="K449" s="7"/>
      <c r="L449" s="7"/>
      <c r="M449" s="7"/>
      <c r="N449" s="7"/>
      <c r="O449" s="7"/>
      <c r="P449" s="8">
        <f t="shared" si="33"/>
        <v>0</v>
      </c>
      <c r="Q449" s="8">
        <f t="shared" si="34"/>
        <v>0</v>
      </c>
      <c r="R449" s="8">
        <f t="shared" si="35"/>
        <v>0</v>
      </c>
    </row>
    <row r="450" spans="1:18">
      <c r="A450" s="6"/>
      <c r="B450" t="str">
        <f t="shared" si="31"/>
        <v/>
      </c>
      <c r="C450" t="str">
        <f t="shared" si="32"/>
        <v/>
      </c>
      <c r="E450" t="str">
        <f>IFERROR(VLOOKUP(D450,Cadastro!$B$4:$H$100,2,FALSE),"")</f>
        <v/>
      </c>
      <c r="F450" t="str">
        <f>IFERROR(VLOOKUP(D450,Cadastro!$B$4:$H$100,3,FALSE),"")</f>
        <v/>
      </c>
      <c r="J450" s="7"/>
      <c r="K450" s="7"/>
      <c r="L450" s="7"/>
      <c r="M450" s="7"/>
      <c r="N450" s="7"/>
      <c r="O450" s="7"/>
      <c r="P450" s="8">
        <f t="shared" si="33"/>
        <v>0</v>
      </c>
      <c r="Q450" s="8">
        <f t="shared" si="34"/>
        <v>0</v>
      </c>
      <c r="R450" s="8">
        <f t="shared" si="35"/>
        <v>0</v>
      </c>
    </row>
    <row r="451" spans="1:18">
      <c r="A451" s="6"/>
      <c r="B451" t="str">
        <f t="shared" si="31"/>
        <v/>
      </c>
      <c r="C451" t="str">
        <f t="shared" si="32"/>
        <v/>
      </c>
      <c r="E451" t="str">
        <f>IFERROR(VLOOKUP(D451,Cadastro!$B$4:$H$100,2,FALSE),"")</f>
        <v/>
      </c>
      <c r="F451" t="str">
        <f>IFERROR(VLOOKUP(D451,Cadastro!$B$4:$H$100,3,FALSE),"")</f>
        <v/>
      </c>
      <c r="J451" s="7"/>
      <c r="K451" s="7"/>
      <c r="L451" s="7"/>
      <c r="M451" s="7"/>
      <c r="N451" s="7"/>
      <c r="O451" s="7"/>
      <c r="P451" s="8">
        <f t="shared" si="33"/>
        <v>0</v>
      </c>
      <c r="Q451" s="8">
        <f t="shared" si="34"/>
        <v>0</v>
      </c>
      <c r="R451" s="8">
        <f t="shared" si="35"/>
        <v>0</v>
      </c>
    </row>
    <row r="452" spans="1:18">
      <c r="A452" s="6"/>
      <c r="B452" t="str">
        <f t="shared" ref="B452:B515" si="36">IF(A452="","",YEAR(A452))</f>
        <v/>
      </c>
      <c r="C452" t="str">
        <f t="shared" ref="C452:C515" si="37">IF(A452="","",TEXT(A452,"mmmm"))</f>
        <v/>
      </c>
      <c r="E452" t="str">
        <f>IFERROR(VLOOKUP(D452,Cadastro!$B$4:$H$100,2,FALSE),"")</f>
        <v/>
      </c>
      <c r="F452" t="str">
        <f>IFERROR(VLOOKUP(D452,Cadastro!$B$4:$H$100,3,FALSE),"")</f>
        <v/>
      </c>
      <c r="J452" s="7"/>
      <c r="K452" s="7"/>
      <c r="L452" s="7"/>
      <c r="M452" s="7"/>
      <c r="N452" s="7"/>
      <c r="O452" s="7"/>
      <c r="P452" s="8">
        <f t="shared" ref="P452:P515" si="38">IF(OR(J452="",K452=""),0,(K452-J452)*24)+IF(OR(L452="",M452=""),0,(M452-L452)*24)+IF(OR(N452="",O452=""),0,(O452-N452)*24)</f>
        <v>0</v>
      </c>
      <c r="Q452" s="8">
        <f t="shared" ref="Q452:Q515" si="39">IF(OR(I452="Prática",I452="Teórico-prática"),P452,0)</f>
        <v>0</v>
      </c>
      <c r="R452" s="8">
        <f t="shared" ref="R452:R515" si="40">IF(OR(I452="Teórica",I452="Teórico-prática"),P452,0)</f>
        <v>0</v>
      </c>
    </row>
    <row r="453" spans="1:18">
      <c r="A453" s="6"/>
      <c r="B453" t="str">
        <f t="shared" si="36"/>
        <v/>
      </c>
      <c r="C453" t="str">
        <f t="shared" si="37"/>
        <v/>
      </c>
      <c r="E453" t="str">
        <f>IFERROR(VLOOKUP(D453,Cadastro!$B$4:$H$100,2,FALSE),"")</f>
        <v/>
      </c>
      <c r="F453" t="str">
        <f>IFERROR(VLOOKUP(D453,Cadastro!$B$4:$H$100,3,FALSE),"")</f>
        <v/>
      </c>
      <c r="J453" s="7"/>
      <c r="K453" s="7"/>
      <c r="L453" s="7"/>
      <c r="M453" s="7"/>
      <c r="N453" s="7"/>
      <c r="O453" s="7"/>
      <c r="P453" s="8">
        <f t="shared" si="38"/>
        <v>0</v>
      </c>
      <c r="Q453" s="8">
        <f t="shared" si="39"/>
        <v>0</v>
      </c>
      <c r="R453" s="8">
        <f t="shared" si="40"/>
        <v>0</v>
      </c>
    </row>
    <row r="454" spans="1:18">
      <c r="A454" s="6"/>
      <c r="B454" t="str">
        <f t="shared" si="36"/>
        <v/>
      </c>
      <c r="C454" t="str">
        <f t="shared" si="37"/>
        <v/>
      </c>
      <c r="E454" t="str">
        <f>IFERROR(VLOOKUP(D454,Cadastro!$B$4:$H$100,2,FALSE),"")</f>
        <v/>
      </c>
      <c r="F454" t="str">
        <f>IFERROR(VLOOKUP(D454,Cadastro!$B$4:$H$100,3,FALSE),"")</f>
        <v/>
      </c>
      <c r="J454" s="7"/>
      <c r="K454" s="7"/>
      <c r="L454" s="7"/>
      <c r="M454" s="7"/>
      <c r="N454" s="7"/>
      <c r="O454" s="7"/>
      <c r="P454" s="8">
        <f t="shared" si="38"/>
        <v>0</v>
      </c>
      <c r="Q454" s="8">
        <f t="shared" si="39"/>
        <v>0</v>
      </c>
      <c r="R454" s="8">
        <f t="shared" si="40"/>
        <v>0</v>
      </c>
    </row>
    <row r="455" spans="1:18">
      <c r="A455" s="6"/>
      <c r="B455" t="str">
        <f t="shared" si="36"/>
        <v/>
      </c>
      <c r="C455" t="str">
        <f t="shared" si="37"/>
        <v/>
      </c>
      <c r="E455" t="str">
        <f>IFERROR(VLOOKUP(D455,Cadastro!$B$4:$H$100,2,FALSE),"")</f>
        <v/>
      </c>
      <c r="F455" t="str">
        <f>IFERROR(VLOOKUP(D455,Cadastro!$B$4:$H$100,3,FALSE),"")</f>
        <v/>
      </c>
      <c r="J455" s="7"/>
      <c r="K455" s="7"/>
      <c r="L455" s="7"/>
      <c r="M455" s="7"/>
      <c r="N455" s="7"/>
      <c r="O455" s="7"/>
      <c r="P455" s="8">
        <f t="shared" si="38"/>
        <v>0</v>
      </c>
      <c r="Q455" s="8">
        <f t="shared" si="39"/>
        <v>0</v>
      </c>
      <c r="R455" s="8">
        <f t="shared" si="40"/>
        <v>0</v>
      </c>
    </row>
    <row r="456" spans="1:18">
      <c r="A456" s="6"/>
      <c r="B456" t="str">
        <f t="shared" si="36"/>
        <v/>
      </c>
      <c r="C456" t="str">
        <f t="shared" si="37"/>
        <v/>
      </c>
      <c r="E456" t="str">
        <f>IFERROR(VLOOKUP(D456,Cadastro!$B$4:$H$100,2,FALSE),"")</f>
        <v/>
      </c>
      <c r="F456" t="str">
        <f>IFERROR(VLOOKUP(D456,Cadastro!$B$4:$H$100,3,FALSE),"")</f>
        <v/>
      </c>
      <c r="J456" s="7"/>
      <c r="K456" s="7"/>
      <c r="L456" s="7"/>
      <c r="M456" s="7"/>
      <c r="N456" s="7"/>
      <c r="O456" s="7"/>
      <c r="P456" s="8">
        <f t="shared" si="38"/>
        <v>0</v>
      </c>
      <c r="Q456" s="8">
        <f t="shared" si="39"/>
        <v>0</v>
      </c>
      <c r="R456" s="8">
        <f t="shared" si="40"/>
        <v>0</v>
      </c>
    </row>
    <row r="457" spans="1:18">
      <c r="A457" s="6"/>
      <c r="B457" t="str">
        <f t="shared" si="36"/>
        <v/>
      </c>
      <c r="C457" t="str">
        <f t="shared" si="37"/>
        <v/>
      </c>
      <c r="E457" t="str">
        <f>IFERROR(VLOOKUP(D457,Cadastro!$B$4:$H$100,2,FALSE),"")</f>
        <v/>
      </c>
      <c r="F457" t="str">
        <f>IFERROR(VLOOKUP(D457,Cadastro!$B$4:$H$100,3,FALSE),"")</f>
        <v/>
      </c>
      <c r="J457" s="7"/>
      <c r="K457" s="7"/>
      <c r="L457" s="7"/>
      <c r="M457" s="7"/>
      <c r="N457" s="7"/>
      <c r="O457" s="7"/>
      <c r="P457" s="8">
        <f t="shared" si="38"/>
        <v>0</v>
      </c>
      <c r="Q457" s="8">
        <f t="shared" si="39"/>
        <v>0</v>
      </c>
      <c r="R457" s="8">
        <f t="shared" si="40"/>
        <v>0</v>
      </c>
    </row>
    <row r="458" spans="1:18">
      <c r="A458" s="6"/>
      <c r="B458" t="str">
        <f t="shared" si="36"/>
        <v/>
      </c>
      <c r="C458" t="str">
        <f t="shared" si="37"/>
        <v/>
      </c>
      <c r="E458" t="str">
        <f>IFERROR(VLOOKUP(D458,Cadastro!$B$4:$H$100,2,FALSE),"")</f>
        <v/>
      </c>
      <c r="F458" t="str">
        <f>IFERROR(VLOOKUP(D458,Cadastro!$B$4:$H$100,3,FALSE),"")</f>
        <v/>
      </c>
      <c r="J458" s="7"/>
      <c r="K458" s="7"/>
      <c r="L458" s="7"/>
      <c r="M458" s="7"/>
      <c r="N458" s="7"/>
      <c r="O458" s="7"/>
      <c r="P458" s="8">
        <f t="shared" si="38"/>
        <v>0</v>
      </c>
      <c r="Q458" s="8">
        <f t="shared" si="39"/>
        <v>0</v>
      </c>
      <c r="R458" s="8">
        <f t="shared" si="40"/>
        <v>0</v>
      </c>
    </row>
    <row r="459" spans="1:18">
      <c r="A459" s="6"/>
      <c r="B459" t="str">
        <f t="shared" si="36"/>
        <v/>
      </c>
      <c r="C459" t="str">
        <f t="shared" si="37"/>
        <v/>
      </c>
      <c r="E459" t="str">
        <f>IFERROR(VLOOKUP(D459,Cadastro!$B$4:$H$100,2,FALSE),"")</f>
        <v/>
      </c>
      <c r="F459" t="str">
        <f>IFERROR(VLOOKUP(D459,Cadastro!$B$4:$H$100,3,FALSE),"")</f>
        <v/>
      </c>
      <c r="J459" s="7"/>
      <c r="K459" s="7"/>
      <c r="L459" s="7"/>
      <c r="M459" s="7"/>
      <c r="N459" s="7"/>
      <c r="O459" s="7"/>
      <c r="P459" s="8">
        <f t="shared" si="38"/>
        <v>0</v>
      </c>
      <c r="Q459" s="8">
        <f t="shared" si="39"/>
        <v>0</v>
      </c>
      <c r="R459" s="8">
        <f t="shared" si="40"/>
        <v>0</v>
      </c>
    </row>
    <row r="460" spans="1:18">
      <c r="A460" s="6"/>
      <c r="B460" t="str">
        <f t="shared" si="36"/>
        <v/>
      </c>
      <c r="C460" t="str">
        <f t="shared" si="37"/>
        <v/>
      </c>
      <c r="E460" t="str">
        <f>IFERROR(VLOOKUP(D460,Cadastro!$B$4:$H$100,2,FALSE),"")</f>
        <v/>
      </c>
      <c r="F460" t="str">
        <f>IFERROR(VLOOKUP(D460,Cadastro!$B$4:$H$100,3,FALSE),"")</f>
        <v/>
      </c>
      <c r="J460" s="7"/>
      <c r="K460" s="7"/>
      <c r="L460" s="7"/>
      <c r="M460" s="7"/>
      <c r="N460" s="7"/>
      <c r="O460" s="7"/>
      <c r="P460" s="8">
        <f t="shared" si="38"/>
        <v>0</v>
      </c>
      <c r="Q460" s="8">
        <f t="shared" si="39"/>
        <v>0</v>
      </c>
      <c r="R460" s="8">
        <f t="shared" si="40"/>
        <v>0</v>
      </c>
    </row>
    <row r="461" spans="1:18">
      <c r="A461" s="6"/>
      <c r="B461" t="str">
        <f t="shared" si="36"/>
        <v/>
      </c>
      <c r="C461" t="str">
        <f t="shared" si="37"/>
        <v/>
      </c>
      <c r="E461" t="str">
        <f>IFERROR(VLOOKUP(D461,Cadastro!$B$4:$H$100,2,FALSE),"")</f>
        <v/>
      </c>
      <c r="F461" t="str">
        <f>IFERROR(VLOOKUP(D461,Cadastro!$B$4:$H$100,3,FALSE),"")</f>
        <v/>
      </c>
      <c r="J461" s="7"/>
      <c r="K461" s="7"/>
      <c r="L461" s="7"/>
      <c r="M461" s="7"/>
      <c r="N461" s="7"/>
      <c r="O461" s="7"/>
      <c r="P461" s="8">
        <f t="shared" si="38"/>
        <v>0</v>
      </c>
      <c r="Q461" s="8">
        <f t="shared" si="39"/>
        <v>0</v>
      </c>
      <c r="R461" s="8">
        <f t="shared" si="40"/>
        <v>0</v>
      </c>
    </row>
    <row r="462" spans="1:18">
      <c r="A462" s="6"/>
      <c r="B462" t="str">
        <f t="shared" si="36"/>
        <v/>
      </c>
      <c r="C462" t="str">
        <f t="shared" si="37"/>
        <v/>
      </c>
      <c r="E462" t="str">
        <f>IFERROR(VLOOKUP(D462,Cadastro!$B$4:$H$100,2,FALSE),"")</f>
        <v/>
      </c>
      <c r="F462" t="str">
        <f>IFERROR(VLOOKUP(D462,Cadastro!$B$4:$H$100,3,FALSE),"")</f>
        <v/>
      </c>
      <c r="J462" s="7"/>
      <c r="K462" s="7"/>
      <c r="L462" s="7"/>
      <c r="M462" s="7"/>
      <c r="N462" s="7"/>
      <c r="O462" s="7"/>
      <c r="P462" s="8">
        <f t="shared" si="38"/>
        <v>0</v>
      </c>
      <c r="Q462" s="8">
        <f t="shared" si="39"/>
        <v>0</v>
      </c>
      <c r="R462" s="8">
        <f t="shared" si="40"/>
        <v>0</v>
      </c>
    </row>
    <row r="463" spans="1:18">
      <c r="A463" s="6"/>
      <c r="B463" t="str">
        <f t="shared" si="36"/>
        <v/>
      </c>
      <c r="C463" t="str">
        <f t="shared" si="37"/>
        <v/>
      </c>
      <c r="E463" t="str">
        <f>IFERROR(VLOOKUP(D463,Cadastro!$B$4:$H$100,2,FALSE),"")</f>
        <v/>
      </c>
      <c r="F463" t="str">
        <f>IFERROR(VLOOKUP(D463,Cadastro!$B$4:$H$100,3,FALSE),"")</f>
        <v/>
      </c>
      <c r="J463" s="7"/>
      <c r="K463" s="7"/>
      <c r="L463" s="7"/>
      <c r="M463" s="7"/>
      <c r="N463" s="7"/>
      <c r="O463" s="7"/>
      <c r="P463" s="8">
        <f t="shared" si="38"/>
        <v>0</v>
      </c>
      <c r="Q463" s="8">
        <f t="shared" si="39"/>
        <v>0</v>
      </c>
      <c r="R463" s="8">
        <f t="shared" si="40"/>
        <v>0</v>
      </c>
    </row>
    <row r="464" spans="1:18">
      <c r="A464" s="6"/>
      <c r="B464" t="str">
        <f t="shared" si="36"/>
        <v/>
      </c>
      <c r="C464" t="str">
        <f t="shared" si="37"/>
        <v/>
      </c>
      <c r="E464" t="str">
        <f>IFERROR(VLOOKUP(D464,Cadastro!$B$4:$H$100,2,FALSE),"")</f>
        <v/>
      </c>
      <c r="F464" t="str">
        <f>IFERROR(VLOOKUP(D464,Cadastro!$B$4:$H$100,3,FALSE),"")</f>
        <v/>
      </c>
      <c r="J464" s="7"/>
      <c r="K464" s="7"/>
      <c r="L464" s="7"/>
      <c r="M464" s="7"/>
      <c r="N464" s="7"/>
      <c r="O464" s="7"/>
      <c r="P464" s="8">
        <f t="shared" si="38"/>
        <v>0</v>
      </c>
      <c r="Q464" s="8">
        <f t="shared" si="39"/>
        <v>0</v>
      </c>
      <c r="R464" s="8">
        <f t="shared" si="40"/>
        <v>0</v>
      </c>
    </row>
    <row r="465" spans="1:18">
      <c r="A465" s="6"/>
      <c r="B465" t="str">
        <f t="shared" si="36"/>
        <v/>
      </c>
      <c r="C465" t="str">
        <f t="shared" si="37"/>
        <v/>
      </c>
      <c r="E465" t="str">
        <f>IFERROR(VLOOKUP(D465,Cadastro!$B$4:$H$100,2,FALSE),"")</f>
        <v/>
      </c>
      <c r="F465" t="str">
        <f>IFERROR(VLOOKUP(D465,Cadastro!$B$4:$H$100,3,FALSE),"")</f>
        <v/>
      </c>
      <c r="J465" s="7"/>
      <c r="K465" s="7"/>
      <c r="L465" s="7"/>
      <c r="M465" s="7"/>
      <c r="N465" s="7"/>
      <c r="O465" s="7"/>
      <c r="P465" s="8">
        <f t="shared" si="38"/>
        <v>0</v>
      </c>
      <c r="Q465" s="8">
        <f t="shared" si="39"/>
        <v>0</v>
      </c>
      <c r="R465" s="8">
        <f t="shared" si="40"/>
        <v>0</v>
      </c>
    </row>
    <row r="466" spans="1:18">
      <c r="A466" s="6"/>
      <c r="B466" t="str">
        <f t="shared" si="36"/>
        <v/>
      </c>
      <c r="C466" t="str">
        <f t="shared" si="37"/>
        <v/>
      </c>
      <c r="E466" t="str">
        <f>IFERROR(VLOOKUP(D466,Cadastro!$B$4:$H$100,2,FALSE),"")</f>
        <v/>
      </c>
      <c r="F466" t="str">
        <f>IFERROR(VLOOKUP(D466,Cadastro!$B$4:$H$100,3,FALSE),"")</f>
        <v/>
      </c>
      <c r="J466" s="7"/>
      <c r="K466" s="7"/>
      <c r="L466" s="7"/>
      <c r="M466" s="7"/>
      <c r="N466" s="7"/>
      <c r="O466" s="7"/>
      <c r="P466" s="8">
        <f t="shared" si="38"/>
        <v>0</v>
      </c>
      <c r="Q466" s="8">
        <f t="shared" si="39"/>
        <v>0</v>
      </c>
      <c r="R466" s="8">
        <f t="shared" si="40"/>
        <v>0</v>
      </c>
    </row>
    <row r="467" spans="1:18">
      <c r="A467" s="6"/>
      <c r="B467" t="str">
        <f t="shared" si="36"/>
        <v/>
      </c>
      <c r="C467" t="str">
        <f t="shared" si="37"/>
        <v/>
      </c>
      <c r="E467" t="str">
        <f>IFERROR(VLOOKUP(D467,Cadastro!$B$4:$H$100,2,FALSE),"")</f>
        <v/>
      </c>
      <c r="F467" t="str">
        <f>IFERROR(VLOOKUP(D467,Cadastro!$B$4:$H$100,3,FALSE),"")</f>
        <v/>
      </c>
      <c r="J467" s="7"/>
      <c r="K467" s="7"/>
      <c r="L467" s="7"/>
      <c r="M467" s="7"/>
      <c r="N467" s="7"/>
      <c r="O467" s="7"/>
      <c r="P467" s="8">
        <f t="shared" si="38"/>
        <v>0</v>
      </c>
      <c r="Q467" s="8">
        <f t="shared" si="39"/>
        <v>0</v>
      </c>
      <c r="R467" s="8">
        <f t="shared" si="40"/>
        <v>0</v>
      </c>
    </row>
    <row r="468" spans="1:18">
      <c r="A468" s="6"/>
      <c r="B468" t="str">
        <f t="shared" si="36"/>
        <v/>
      </c>
      <c r="C468" t="str">
        <f t="shared" si="37"/>
        <v/>
      </c>
      <c r="E468" t="str">
        <f>IFERROR(VLOOKUP(D468,Cadastro!$B$4:$H$100,2,FALSE),"")</f>
        <v/>
      </c>
      <c r="F468" t="str">
        <f>IFERROR(VLOOKUP(D468,Cadastro!$B$4:$H$100,3,FALSE),"")</f>
        <v/>
      </c>
      <c r="J468" s="7"/>
      <c r="K468" s="7"/>
      <c r="L468" s="7"/>
      <c r="M468" s="7"/>
      <c r="N468" s="7"/>
      <c r="O468" s="7"/>
      <c r="P468" s="8">
        <f t="shared" si="38"/>
        <v>0</v>
      </c>
      <c r="Q468" s="8">
        <f t="shared" si="39"/>
        <v>0</v>
      </c>
      <c r="R468" s="8">
        <f t="shared" si="40"/>
        <v>0</v>
      </c>
    </row>
    <row r="469" spans="1:18">
      <c r="A469" s="6"/>
      <c r="B469" t="str">
        <f t="shared" si="36"/>
        <v/>
      </c>
      <c r="C469" t="str">
        <f t="shared" si="37"/>
        <v/>
      </c>
      <c r="E469" t="str">
        <f>IFERROR(VLOOKUP(D469,Cadastro!$B$4:$H$100,2,FALSE),"")</f>
        <v/>
      </c>
      <c r="F469" t="str">
        <f>IFERROR(VLOOKUP(D469,Cadastro!$B$4:$H$100,3,FALSE),"")</f>
        <v/>
      </c>
      <c r="J469" s="7"/>
      <c r="K469" s="7"/>
      <c r="L469" s="7"/>
      <c r="M469" s="7"/>
      <c r="N469" s="7"/>
      <c r="O469" s="7"/>
      <c r="P469" s="8">
        <f t="shared" si="38"/>
        <v>0</v>
      </c>
      <c r="Q469" s="8">
        <f t="shared" si="39"/>
        <v>0</v>
      </c>
      <c r="R469" s="8">
        <f t="shared" si="40"/>
        <v>0</v>
      </c>
    </row>
    <row r="470" spans="1:18">
      <c r="A470" s="6"/>
      <c r="B470" t="str">
        <f t="shared" si="36"/>
        <v/>
      </c>
      <c r="C470" t="str">
        <f t="shared" si="37"/>
        <v/>
      </c>
      <c r="E470" t="str">
        <f>IFERROR(VLOOKUP(D470,Cadastro!$B$4:$H$100,2,FALSE),"")</f>
        <v/>
      </c>
      <c r="F470" t="str">
        <f>IFERROR(VLOOKUP(D470,Cadastro!$B$4:$H$100,3,FALSE),"")</f>
        <v/>
      </c>
      <c r="J470" s="7"/>
      <c r="K470" s="7"/>
      <c r="L470" s="7"/>
      <c r="M470" s="7"/>
      <c r="N470" s="7"/>
      <c r="O470" s="7"/>
      <c r="P470" s="8">
        <f t="shared" si="38"/>
        <v>0</v>
      </c>
      <c r="Q470" s="8">
        <f t="shared" si="39"/>
        <v>0</v>
      </c>
      <c r="R470" s="8">
        <f t="shared" si="40"/>
        <v>0</v>
      </c>
    </row>
    <row r="471" spans="1:18">
      <c r="A471" s="6"/>
      <c r="B471" t="str">
        <f t="shared" si="36"/>
        <v/>
      </c>
      <c r="C471" t="str">
        <f t="shared" si="37"/>
        <v/>
      </c>
      <c r="E471" t="str">
        <f>IFERROR(VLOOKUP(D471,Cadastro!$B$4:$H$100,2,FALSE),"")</f>
        <v/>
      </c>
      <c r="F471" t="str">
        <f>IFERROR(VLOOKUP(D471,Cadastro!$B$4:$H$100,3,FALSE),"")</f>
        <v/>
      </c>
      <c r="J471" s="7"/>
      <c r="K471" s="7"/>
      <c r="L471" s="7"/>
      <c r="M471" s="7"/>
      <c r="N471" s="7"/>
      <c r="O471" s="7"/>
      <c r="P471" s="8">
        <f t="shared" si="38"/>
        <v>0</v>
      </c>
      <c r="Q471" s="8">
        <f t="shared" si="39"/>
        <v>0</v>
      </c>
      <c r="R471" s="8">
        <f t="shared" si="40"/>
        <v>0</v>
      </c>
    </row>
    <row r="472" spans="1:18">
      <c r="A472" s="6"/>
      <c r="B472" t="str">
        <f t="shared" si="36"/>
        <v/>
      </c>
      <c r="C472" t="str">
        <f t="shared" si="37"/>
        <v/>
      </c>
      <c r="E472" t="str">
        <f>IFERROR(VLOOKUP(D472,Cadastro!$B$4:$H$100,2,FALSE),"")</f>
        <v/>
      </c>
      <c r="F472" t="str">
        <f>IFERROR(VLOOKUP(D472,Cadastro!$B$4:$H$100,3,FALSE),"")</f>
        <v/>
      </c>
      <c r="J472" s="7"/>
      <c r="K472" s="7"/>
      <c r="L472" s="7"/>
      <c r="M472" s="7"/>
      <c r="N472" s="7"/>
      <c r="O472" s="7"/>
      <c r="P472" s="8">
        <f t="shared" si="38"/>
        <v>0</v>
      </c>
      <c r="Q472" s="8">
        <f t="shared" si="39"/>
        <v>0</v>
      </c>
      <c r="R472" s="8">
        <f t="shared" si="40"/>
        <v>0</v>
      </c>
    </row>
    <row r="473" spans="1:18">
      <c r="A473" s="6"/>
      <c r="B473" t="str">
        <f t="shared" si="36"/>
        <v/>
      </c>
      <c r="C473" t="str">
        <f t="shared" si="37"/>
        <v/>
      </c>
      <c r="E473" t="str">
        <f>IFERROR(VLOOKUP(D473,Cadastro!$B$4:$H$100,2,FALSE),"")</f>
        <v/>
      </c>
      <c r="F473" t="str">
        <f>IFERROR(VLOOKUP(D473,Cadastro!$B$4:$H$100,3,FALSE),"")</f>
        <v/>
      </c>
      <c r="J473" s="7"/>
      <c r="K473" s="7"/>
      <c r="L473" s="7"/>
      <c r="M473" s="7"/>
      <c r="N473" s="7"/>
      <c r="O473" s="7"/>
      <c r="P473" s="8">
        <f t="shared" si="38"/>
        <v>0</v>
      </c>
      <c r="Q473" s="8">
        <f t="shared" si="39"/>
        <v>0</v>
      </c>
      <c r="R473" s="8">
        <f t="shared" si="40"/>
        <v>0</v>
      </c>
    </row>
    <row r="474" spans="1:18">
      <c r="A474" s="6"/>
      <c r="B474" t="str">
        <f t="shared" si="36"/>
        <v/>
      </c>
      <c r="C474" t="str">
        <f t="shared" si="37"/>
        <v/>
      </c>
      <c r="E474" t="str">
        <f>IFERROR(VLOOKUP(D474,Cadastro!$B$4:$H$100,2,FALSE),"")</f>
        <v/>
      </c>
      <c r="F474" t="str">
        <f>IFERROR(VLOOKUP(D474,Cadastro!$B$4:$H$100,3,FALSE),"")</f>
        <v/>
      </c>
      <c r="J474" s="7"/>
      <c r="K474" s="7"/>
      <c r="L474" s="7"/>
      <c r="M474" s="7"/>
      <c r="N474" s="7"/>
      <c r="O474" s="7"/>
      <c r="P474" s="8">
        <f t="shared" si="38"/>
        <v>0</v>
      </c>
      <c r="Q474" s="8">
        <f t="shared" si="39"/>
        <v>0</v>
      </c>
      <c r="R474" s="8">
        <f t="shared" si="40"/>
        <v>0</v>
      </c>
    </row>
    <row r="475" spans="1:18">
      <c r="A475" s="6"/>
      <c r="B475" t="str">
        <f t="shared" si="36"/>
        <v/>
      </c>
      <c r="C475" t="str">
        <f t="shared" si="37"/>
        <v/>
      </c>
      <c r="E475" t="str">
        <f>IFERROR(VLOOKUP(D475,Cadastro!$B$4:$H$100,2,FALSE),"")</f>
        <v/>
      </c>
      <c r="F475" t="str">
        <f>IFERROR(VLOOKUP(D475,Cadastro!$B$4:$H$100,3,FALSE),"")</f>
        <v/>
      </c>
      <c r="J475" s="7"/>
      <c r="K475" s="7"/>
      <c r="L475" s="7"/>
      <c r="M475" s="7"/>
      <c r="N475" s="7"/>
      <c r="O475" s="7"/>
      <c r="P475" s="8">
        <f t="shared" si="38"/>
        <v>0</v>
      </c>
      <c r="Q475" s="8">
        <f t="shared" si="39"/>
        <v>0</v>
      </c>
      <c r="R475" s="8">
        <f t="shared" si="40"/>
        <v>0</v>
      </c>
    </row>
    <row r="476" spans="1:18">
      <c r="A476" s="6"/>
      <c r="B476" t="str">
        <f t="shared" si="36"/>
        <v/>
      </c>
      <c r="C476" t="str">
        <f t="shared" si="37"/>
        <v/>
      </c>
      <c r="E476" t="str">
        <f>IFERROR(VLOOKUP(D476,Cadastro!$B$4:$H$100,2,FALSE),"")</f>
        <v/>
      </c>
      <c r="F476" t="str">
        <f>IFERROR(VLOOKUP(D476,Cadastro!$B$4:$H$100,3,FALSE),"")</f>
        <v/>
      </c>
      <c r="J476" s="7"/>
      <c r="K476" s="7"/>
      <c r="L476" s="7"/>
      <c r="M476" s="7"/>
      <c r="N476" s="7"/>
      <c r="O476" s="7"/>
      <c r="P476" s="8">
        <f t="shared" si="38"/>
        <v>0</v>
      </c>
      <c r="Q476" s="8">
        <f t="shared" si="39"/>
        <v>0</v>
      </c>
      <c r="R476" s="8">
        <f t="shared" si="40"/>
        <v>0</v>
      </c>
    </row>
    <row r="477" spans="1:18">
      <c r="A477" s="6"/>
      <c r="B477" t="str">
        <f t="shared" si="36"/>
        <v/>
      </c>
      <c r="C477" t="str">
        <f t="shared" si="37"/>
        <v/>
      </c>
      <c r="E477" t="str">
        <f>IFERROR(VLOOKUP(D477,Cadastro!$B$4:$H$100,2,FALSE),"")</f>
        <v/>
      </c>
      <c r="F477" t="str">
        <f>IFERROR(VLOOKUP(D477,Cadastro!$B$4:$H$100,3,FALSE),"")</f>
        <v/>
      </c>
      <c r="J477" s="7"/>
      <c r="K477" s="7"/>
      <c r="L477" s="7"/>
      <c r="M477" s="7"/>
      <c r="N477" s="7"/>
      <c r="O477" s="7"/>
      <c r="P477" s="8">
        <f t="shared" si="38"/>
        <v>0</v>
      </c>
      <c r="Q477" s="8">
        <f t="shared" si="39"/>
        <v>0</v>
      </c>
      <c r="R477" s="8">
        <f t="shared" si="40"/>
        <v>0</v>
      </c>
    </row>
    <row r="478" spans="1:18">
      <c r="A478" s="6"/>
      <c r="B478" t="str">
        <f t="shared" si="36"/>
        <v/>
      </c>
      <c r="C478" t="str">
        <f t="shared" si="37"/>
        <v/>
      </c>
      <c r="E478" t="str">
        <f>IFERROR(VLOOKUP(D478,Cadastro!$B$4:$H$100,2,FALSE),"")</f>
        <v/>
      </c>
      <c r="F478" t="str">
        <f>IFERROR(VLOOKUP(D478,Cadastro!$B$4:$H$100,3,FALSE),"")</f>
        <v/>
      </c>
      <c r="J478" s="7"/>
      <c r="K478" s="7"/>
      <c r="L478" s="7"/>
      <c r="M478" s="7"/>
      <c r="N478" s="7"/>
      <c r="O478" s="7"/>
      <c r="P478" s="8">
        <f t="shared" si="38"/>
        <v>0</v>
      </c>
      <c r="Q478" s="8">
        <f t="shared" si="39"/>
        <v>0</v>
      </c>
      <c r="R478" s="8">
        <f t="shared" si="40"/>
        <v>0</v>
      </c>
    </row>
    <row r="479" spans="1:18">
      <c r="A479" s="6"/>
      <c r="B479" t="str">
        <f t="shared" si="36"/>
        <v/>
      </c>
      <c r="C479" t="str">
        <f t="shared" si="37"/>
        <v/>
      </c>
      <c r="E479" t="str">
        <f>IFERROR(VLOOKUP(D479,Cadastro!$B$4:$H$100,2,FALSE),"")</f>
        <v/>
      </c>
      <c r="F479" t="str">
        <f>IFERROR(VLOOKUP(D479,Cadastro!$B$4:$H$100,3,FALSE),"")</f>
        <v/>
      </c>
      <c r="J479" s="7"/>
      <c r="K479" s="7"/>
      <c r="L479" s="7"/>
      <c r="M479" s="7"/>
      <c r="N479" s="7"/>
      <c r="O479" s="7"/>
      <c r="P479" s="8">
        <f t="shared" si="38"/>
        <v>0</v>
      </c>
      <c r="Q479" s="8">
        <f t="shared" si="39"/>
        <v>0</v>
      </c>
      <c r="R479" s="8">
        <f t="shared" si="40"/>
        <v>0</v>
      </c>
    </row>
    <row r="480" spans="1:18">
      <c r="A480" s="6"/>
      <c r="B480" t="str">
        <f t="shared" si="36"/>
        <v/>
      </c>
      <c r="C480" t="str">
        <f t="shared" si="37"/>
        <v/>
      </c>
      <c r="E480" t="str">
        <f>IFERROR(VLOOKUP(D480,Cadastro!$B$4:$H$100,2,FALSE),"")</f>
        <v/>
      </c>
      <c r="F480" t="str">
        <f>IFERROR(VLOOKUP(D480,Cadastro!$B$4:$H$100,3,FALSE),"")</f>
        <v/>
      </c>
      <c r="J480" s="7"/>
      <c r="K480" s="7"/>
      <c r="L480" s="7"/>
      <c r="M480" s="7"/>
      <c r="N480" s="7"/>
      <c r="O480" s="7"/>
      <c r="P480" s="8">
        <f t="shared" si="38"/>
        <v>0</v>
      </c>
      <c r="Q480" s="8">
        <f t="shared" si="39"/>
        <v>0</v>
      </c>
      <c r="R480" s="8">
        <f t="shared" si="40"/>
        <v>0</v>
      </c>
    </row>
    <row r="481" spans="1:18">
      <c r="A481" s="6"/>
      <c r="B481" t="str">
        <f t="shared" si="36"/>
        <v/>
      </c>
      <c r="C481" t="str">
        <f t="shared" si="37"/>
        <v/>
      </c>
      <c r="E481" t="str">
        <f>IFERROR(VLOOKUP(D481,Cadastro!$B$4:$H$100,2,FALSE),"")</f>
        <v/>
      </c>
      <c r="F481" t="str">
        <f>IFERROR(VLOOKUP(D481,Cadastro!$B$4:$H$100,3,FALSE),"")</f>
        <v/>
      </c>
      <c r="J481" s="7"/>
      <c r="K481" s="7"/>
      <c r="L481" s="7"/>
      <c r="M481" s="7"/>
      <c r="N481" s="7"/>
      <c r="O481" s="7"/>
      <c r="P481" s="8">
        <f t="shared" si="38"/>
        <v>0</v>
      </c>
      <c r="Q481" s="8">
        <f t="shared" si="39"/>
        <v>0</v>
      </c>
      <c r="R481" s="8">
        <f t="shared" si="40"/>
        <v>0</v>
      </c>
    </row>
    <row r="482" spans="1:18">
      <c r="A482" s="6"/>
      <c r="B482" t="str">
        <f t="shared" si="36"/>
        <v/>
      </c>
      <c r="C482" t="str">
        <f t="shared" si="37"/>
        <v/>
      </c>
      <c r="E482" t="str">
        <f>IFERROR(VLOOKUP(D482,Cadastro!$B$4:$H$100,2,FALSE),"")</f>
        <v/>
      </c>
      <c r="F482" t="str">
        <f>IFERROR(VLOOKUP(D482,Cadastro!$B$4:$H$100,3,FALSE),"")</f>
        <v/>
      </c>
      <c r="J482" s="7"/>
      <c r="K482" s="7"/>
      <c r="L482" s="7"/>
      <c r="M482" s="7"/>
      <c r="N482" s="7"/>
      <c r="O482" s="7"/>
      <c r="P482" s="8">
        <f t="shared" si="38"/>
        <v>0</v>
      </c>
      <c r="Q482" s="8">
        <f t="shared" si="39"/>
        <v>0</v>
      </c>
      <c r="R482" s="8">
        <f t="shared" si="40"/>
        <v>0</v>
      </c>
    </row>
    <row r="483" spans="1:18">
      <c r="A483" s="6"/>
      <c r="B483" t="str">
        <f t="shared" si="36"/>
        <v/>
      </c>
      <c r="C483" t="str">
        <f t="shared" si="37"/>
        <v/>
      </c>
      <c r="E483" t="str">
        <f>IFERROR(VLOOKUP(D483,Cadastro!$B$4:$H$100,2,FALSE),"")</f>
        <v/>
      </c>
      <c r="F483" t="str">
        <f>IFERROR(VLOOKUP(D483,Cadastro!$B$4:$H$100,3,FALSE),"")</f>
        <v/>
      </c>
      <c r="J483" s="7"/>
      <c r="K483" s="7"/>
      <c r="L483" s="7"/>
      <c r="M483" s="7"/>
      <c r="N483" s="7"/>
      <c r="O483" s="7"/>
      <c r="P483" s="8">
        <f t="shared" si="38"/>
        <v>0</v>
      </c>
      <c r="Q483" s="8">
        <f t="shared" si="39"/>
        <v>0</v>
      </c>
      <c r="R483" s="8">
        <f t="shared" si="40"/>
        <v>0</v>
      </c>
    </row>
    <row r="484" spans="1:18">
      <c r="A484" s="6"/>
      <c r="B484" t="str">
        <f t="shared" si="36"/>
        <v/>
      </c>
      <c r="C484" t="str">
        <f t="shared" si="37"/>
        <v/>
      </c>
      <c r="E484" t="str">
        <f>IFERROR(VLOOKUP(D484,Cadastro!$B$4:$H$100,2,FALSE),"")</f>
        <v/>
      </c>
      <c r="F484" t="str">
        <f>IFERROR(VLOOKUP(D484,Cadastro!$B$4:$H$100,3,FALSE),"")</f>
        <v/>
      </c>
      <c r="J484" s="7"/>
      <c r="K484" s="7"/>
      <c r="L484" s="7"/>
      <c r="M484" s="7"/>
      <c r="N484" s="7"/>
      <c r="O484" s="7"/>
      <c r="P484" s="8">
        <f t="shared" si="38"/>
        <v>0</v>
      </c>
      <c r="Q484" s="8">
        <f t="shared" si="39"/>
        <v>0</v>
      </c>
      <c r="R484" s="8">
        <f t="shared" si="40"/>
        <v>0</v>
      </c>
    </row>
    <row r="485" spans="1:18">
      <c r="A485" s="6"/>
      <c r="B485" t="str">
        <f t="shared" si="36"/>
        <v/>
      </c>
      <c r="C485" t="str">
        <f t="shared" si="37"/>
        <v/>
      </c>
      <c r="E485" t="str">
        <f>IFERROR(VLOOKUP(D485,Cadastro!$B$4:$H$100,2,FALSE),"")</f>
        <v/>
      </c>
      <c r="F485" t="str">
        <f>IFERROR(VLOOKUP(D485,Cadastro!$B$4:$H$100,3,FALSE),"")</f>
        <v/>
      </c>
      <c r="J485" s="7"/>
      <c r="K485" s="7"/>
      <c r="L485" s="7"/>
      <c r="M485" s="7"/>
      <c r="N485" s="7"/>
      <c r="O485" s="7"/>
      <c r="P485" s="8">
        <f t="shared" si="38"/>
        <v>0</v>
      </c>
      <c r="Q485" s="8">
        <f t="shared" si="39"/>
        <v>0</v>
      </c>
      <c r="R485" s="8">
        <f t="shared" si="40"/>
        <v>0</v>
      </c>
    </row>
    <row r="486" spans="1:18">
      <c r="A486" s="6"/>
      <c r="B486" t="str">
        <f t="shared" si="36"/>
        <v/>
      </c>
      <c r="C486" t="str">
        <f t="shared" si="37"/>
        <v/>
      </c>
      <c r="E486" t="str">
        <f>IFERROR(VLOOKUP(D486,Cadastro!$B$4:$H$100,2,FALSE),"")</f>
        <v/>
      </c>
      <c r="F486" t="str">
        <f>IFERROR(VLOOKUP(D486,Cadastro!$B$4:$H$100,3,FALSE),"")</f>
        <v/>
      </c>
      <c r="J486" s="7"/>
      <c r="K486" s="7"/>
      <c r="L486" s="7"/>
      <c r="M486" s="7"/>
      <c r="N486" s="7"/>
      <c r="O486" s="7"/>
      <c r="P486" s="8">
        <f t="shared" si="38"/>
        <v>0</v>
      </c>
      <c r="Q486" s="8">
        <f t="shared" si="39"/>
        <v>0</v>
      </c>
      <c r="R486" s="8">
        <f t="shared" si="40"/>
        <v>0</v>
      </c>
    </row>
    <row r="487" spans="1:18">
      <c r="A487" s="6"/>
      <c r="B487" t="str">
        <f t="shared" si="36"/>
        <v/>
      </c>
      <c r="C487" t="str">
        <f t="shared" si="37"/>
        <v/>
      </c>
      <c r="E487" t="str">
        <f>IFERROR(VLOOKUP(D487,Cadastro!$B$4:$H$100,2,FALSE),"")</f>
        <v/>
      </c>
      <c r="F487" t="str">
        <f>IFERROR(VLOOKUP(D487,Cadastro!$B$4:$H$100,3,FALSE),"")</f>
        <v/>
      </c>
      <c r="J487" s="7"/>
      <c r="K487" s="7"/>
      <c r="L487" s="7"/>
      <c r="M487" s="7"/>
      <c r="N487" s="7"/>
      <c r="O487" s="7"/>
      <c r="P487" s="8">
        <f t="shared" si="38"/>
        <v>0</v>
      </c>
      <c r="Q487" s="8">
        <f t="shared" si="39"/>
        <v>0</v>
      </c>
      <c r="R487" s="8">
        <f t="shared" si="40"/>
        <v>0</v>
      </c>
    </row>
    <row r="488" spans="1:18">
      <c r="A488" s="6"/>
      <c r="B488" t="str">
        <f t="shared" si="36"/>
        <v/>
      </c>
      <c r="C488" t="str">
        <f t="shared" si="37"/>
        <v/>
      </c>
      <c r="E488" t="str">
        <f>IFERROR(VLOOKUP(D488,Cadastro!$B$4:$H$100,2,FALSE),"")</f>
        <v/>
      </c>
      <c r="F488" t="str">
        <f>IFERROR(VLOOKUP(D488,Cadastro!$B$4:$H$100,3,FALSE),"")</f>
        <v/>
      </c>
      <c r="J488" s="7"/>
      <c r="K488" s="7"/>
      <c r="L488" s="7"/>
      <c r="M488" s="7"/>
      <c r="N488" s="7"/>
      <c r="O488" s="7"/>
      <c r="P488" s="8">
        <f t="shared" si="38"/>
        <v>0</v>
      </c>
      <c r="Q488" s="8">
        <f t="shared" si="39"/>
        <v>0</v>
      </c>
      <c r="R488" s="8">
        <f t="shared" si="40"/>
        <v>0</v>
      </c>
    </row>
    <row r="489" spans="1:18">
      <c r="A489" s="6"/>
      <c r="B489" t="str">
        <f t="shared" si="36"/>
        <v/>
      </c>
      <c r="C489" t="str">
        <f t="shared" si="37"/>
        <v/>
      </c>
      <c r="E489" t="str">
        <f>IFERROR(VLOOKUP(D489,Cadastro!$B$4:$H$100,2,FALSE),"")</f>
        <v/>
      </c>
      <c r="F489" t="str">
        <f>IFERROR(VLOOKUP(D489,Cadastro!$B$4:$H$100,3,FALSE),"")</f>
        <v/>
      </c>
      <c r="J489" s="7"/>
      <c r="K489" s="7"/>
      <c r="L489" s="7"/>
      <c r="M489" s="7"/>
      <c r="N489" s="7"/>
      <c r="O489" s="7"/>
      <c r="P489" s="8">
        <f t="shared" si="38"/>
        <v>0</v>
      </c>
      <c r="Q489" s="8">
        <f t="shared" si="39"/>
        <v>0</v>
      </c>
      <c r="R489" s="8">
        <f t="shared" si="40"/>
        <v>0</v>
      </c>
    </row>
    <row r="490" spans="1:18">
      <c r="A490" s="6"/>
      <c r="B490" t="str">
        <f t="shared" si="36"/>
        <v/>
      </c>
      <c r="C490" t="str">
        <f t="shared" si="37"/>
        <v/>
      </c>
      <c r="E490" t="str">
        <f>IFERROR(VLOOKUP(D490,Cadastro!$B$4:$H$100,2,FALSE),"")</f>
        <v/>
      </c>
      <c r="F490" t="str">
        <f>IFERROR(VLOOKUP(D490,Cadastro!$B$4:$H$100,3,FALSE),"")</f>
        <v/>
      </c>
      <c r="J490" s="7"/>
      <c r="K490" s="7"/>
      <c r="L490" s="7"/>
      <c r="M490" s="7"/>
      <c r="N490" s="7"/>
      <c r="O490" s="7"/>
      <c r="P490" s="8">
        <f t="shared" si="38"/>
        <v>0</v>
      </c>
      <c r="Q490" s="8">
        <f t="shared" si="39"/>
        <v>0</v>
      </c>
      <c r="R490" s="8">
        <f t="shared" si="40"/>
        <v>0</v>
      </c>
    </row>
    <row r="491" spans="1:18">
      <c r="A491" s="6"/>
      <c r="B491" t="str">
        <f t="shared" si="36"/>
        <v/>
      </c>
      <c r="C491" t="str">
        <f t="shared" si="37"/>
        <v/>
      </c>
      <c r="E491" t="str">
        <f>IFERROR(VLOOKUP(D491,Cadastro!$B$4:$H$100,2,FALSE),"")</f>
        <v/>
      </c>
      <c r="F491" t="str">
        <f>IFERROR(VLOOKUP(D491,Cadastro!$B$4:$H$100,3,FALSE),"")</f>
        <v/>
      </c>
      <c r="J491" s="7"/>
      <c r="K491" s="7"/>
      <c r="L491" s="7"/>
      <c r="M491" s="7"/>
      <c r="N491" s="7"/>
      <c r="O491" s="7"/>
      <c r="P491" s="8">
        <f t="shared" si="38"/>
        <v>0</v>
      </c>
      <c r="Q491" s="8">
        <f t="shared" si="39"/>
        <v>0</v>
      </c>
      <c r="R491" s="8">
        <f t="shared" si="40"/>
        <v>0</v>
      </c>
    </row>
    <row r="492" spans="1:18">
      <c r="A492" s="6"/>
      <c r="B492" t="str">
        <f t="shared" si="36"/>
        <v/>
      </c>
      <c r="C492" t="str">
        <f t="shared" si="37"/>
        <v/>
      </c>
      <c r="E492" t="str">
        <f>IFERROR(VLOOKUP(D492,Cadastro!$B$4:$H$100,2,FALSE),"")</f>
        <v/>
      </c>
      <c r="F492" t="str">
        <f>IFERROR(VLOOKUP(D492,Cadastro!$B$4:$H$100,3,FALSE),"")</f>
        <v/>
      </c>
      <c r="J492" s="7"/>
      <c r="K492" s="7"/>
      <c r="L492" s="7"/>
      <c r="M492" s="7"/>
      <c r="N492" s="7"/>
      <c r="O492" s="7"/>
      <c r="P492" s="8">
        <f t="shared" si="38"/>
        <v>0</v>
      </c>
      <c r="Q492" s="8">
        <f t="shared" si="39"/>
        <v>0</v>
      </c>
      <c r="R492" s="8">
        <f t="shared" si="40"/>
        <v>0</v>
      </c>
    </row>
    <row r="493" spans="1:18">
      <c r="A493" s="6"/>
      <c r="B493" t="str">
        <f t="shared" si="36"/>
        <v/>
      </c>
      <c r="C493" t="str">
        <f t="shared" si="37"/>
        <v/>
      </c>
      <c r="E493" t="str">
        <f>IFERROR(VLOOKUP(D493,Cadastro!$B$4:$H$100,2,FALSE),"")</f>
        <v/>
      </c>
      <c r="F493" t="str">
        <f>IFERROR(VLOOKUP(D493,Cadastro!$B$4:$H$100,3,FALSE),"")</f>
        <v/>
      </c>
      <c r="J493" s="7"/>
      <c r="K493" s="7"/>
      <c r="L493" s="7"/>
      <c r="M493" s="7"/>
      <c r="N493" s="7"/>
      <c r="O493" s="7"/>
      <c r="P493" s="8">
        <f t="shared" si="38"/>
        <v>0</v>
      </c>
      <c r="Q493" s="8">
        <f t="shared" si="39"/>
        <v>0</v>
      </c>
      <c r="R493" s="8">
        <f t="shared" si="40"/>
        <v>0</v>
      </c>
    </row>
    <row r="494" spans="1:18">
      <c r="A494" s="6"/>
      <c r="B494" t="str">
        <f t="shared" si="36"/>
        <v/>
      </c>
      <c r="C494" t="str">
        <f t="shared" si="37"/>
        <v/>
      </c>
      <c r="E494" t="str">
        <f>IFERROR(VLOOKUP(D494,Cadastro!$B$4:$H$100,2,FALSE),"")</f>
        <v/>
      </c>
      <c r="F494" t="str">
        <f>IFERROR(VLOOKUP(D494,Cadastro!$B$4:$H$100,3,FALSE),"")</f>
        <v/>
      </c>
      <c r="J494" s="7"/>
      <c r="K494" s="7"/>
      <c r="L494" s="7"/>
      <c r="M494" s="7"/>
      <c r="N494" s="7"/>
      <c r="O494" s="7"/>
      <c r="P494" s="8">
        <f t="shared" si="38"/>
        <v>0</v>
      </c>
      <c r="Q494" s="8">
        <f t="shared" si="39"/>
        <v>0</v>
      </c>
      <c r="R494" s="8">
        <f t="shared" si="40"/>
        <v>0</v>
      </c>
    </row>
    <row r="495" spans="1:18">
      <c r="A495" s="6"/>
      <c r="B495" t="str">
        <f t="shared" si="36"/>
        <v/>
      </c>
      <c r="C495" t="str">
        <f t="shared" si="37"/>
        <v/>
      </c>
      <c r="E495" t="str">
        <f>IFERROR(VLOOKUP(D495,Cadastro!$B$4:$H$100,2,FALSE),"")</f>
        <v/>
      </c>
      <c r="F495" t="str">
        <f>IFERROR(VLOOKUP(D495,Cadastro!$B$4:$H$100,3,FALSE),"")</f>
        <v/>
      </c>
      <c r="J495" s="7"/>
      <c r="K495" s="7"/>
      <c r="L495" s="7"/>
      <c r="M495" s="7"/>
      <c r="N495" s="7"/>
      <c r="O495" s="7"/>
      <c r="P495" s="8">
        <f t="shared" si="38"/>
        <v>0</v>
      </c>
      <c r="Q495" s="8">
        <f t="shared" si="39"/>
        <v>0</v>
      </c>
      <c r="R495" s="8">
        <f t="shared" si="40"/>
        <v>0</v>
      </c>
    </row>
    <row r="496" spans="1:18">
      <c r="A496" s="6"/>
      <c r="B496" t="str">
        <f t="shared" si="36"/>
        <v/>
      </c>
      <c r="C496" t="str">
        <f t="shared" si="37"/>
        <v/>
      </c>
      <c r="E496" t="str">
        <f>IFERROR(VLOOKUP(D496,Cadastro!$B$4:$H$100,2,FALSE),"")</f>
        <v/>
      </c>
      <c r="F496" t="str">
        <f>IFERROR(VLOOKUP(D496,Cadastro!$B$4:$H$100,3,FALSE),"")</f>
        <v/>
      </c>
      <c r="J496" s="7"/>
      <c r="K496" s="7"/>
      <c r="L496" s="7"/>
      <c r="M496" s="7"/>
      <c r="N496" s="7"/>
      <c r="O496" s="7"/>
      <c r="P496" s="8">
        <f t="shared" si="38"/>
        <v>0</v>
      </c>
      <c r="Q496" s="8">
        <f t="shared" si="39"/>
        <v>0</v>
      </c>
      <c r="R496" s="8">
        <f t="shared" si="40"/>
        <v>0</v>
      </c>
    </row>
    <row r="497" spans="1:18">
      <c r="A497" s="6"/>
      <c r="B497" t="str">
        <f t="shared" si="36"/>
        <v/>
      </c>
      <c r="C497" t="str">
        <f t="shared" si="37"/>
        <v/>
      </c>
      <c r="E497" t="str">
        <f>IFERROR(VLOOKUP(D497,Cadastro!$B$4:$H$100,2,FALSE),"")</f>
        <v/>
      </c>
      <c r="F497" t="str">
        <f>IFERROR(VLOOKUP(D497,Cadastro!$B$4:$H$100,3,FALSE),"")</f>
        <v/>
      </c>
      <c r="J497" s="7"/>
      <c r="K497" s="7"/>
      <c r="L497" s="7"/>
      <c r="M497" s="7"/>
      <c r="N497" s="7"/>
      <c r="O497" s="7"/>
      <c r="P497" s="8">
        <f t="shared" si="38"/>
        <v>0</v>
      </c>
      <c r="Q497" s="8">
        <f t="shared" si="39"/>
        <v>0</v>
      </c>
      <c r="R497" s="8">
        <f t="shared" si="40"/>
        <v>0</v>
      </c>
    </row>
    <row r="498" spans="1:18">
      <c r="A498" s="6"/>
      <c r="B498" t="str">
        <f t="shared" si="36"/>
        <v/>
      </c>
      <c r="C498" t="str">
        <f t="shared" si="37"/>
        <v/>
      </c>
      <c r="E498" t="str">
        <f>IFERROR(VLOOKUP(D498,Cadastro!$B$4:$H$100,2,FALSE),"")</f>
        <v/>
      </c>
      <c r="F498" t="str">
        <f>IFERROR(VLOOKUP(D498,Cadastro!$B$4:$H$100,3,FALSE),"")</f>
        <v/>
      </c>
      <c r="J498" s="7"/>
      <c r="K498" s="7"/>
      <c r="L498" s="7"/>
      <c r="M498" s="7"/>
      <c r="N498" s="7"/>
      <c r="O498" s="7"/>
      <c r="P498" s="8">
        <f t="shared" si="38"/>
        <v>0</v>
      </c>
      <c r="Q498" s="8">
        <f t="shared" si="39"/>
        <v>0</v>
      </c>
      <c r="R498" s="8">
        <f t="shared" si="40"/>
        <v>0</v>
      </c>
    </row>
    <row r="499" spans="1:18">
      <c r="A499" s="6"/>
      <c r="B499" t="str">
        <f t="shared" si="36"/>
        <v/>
      </c>
      <c r="C499" t="str">
        <f t="shared" si="37"/>
        <v/>
      </c>
      <c r="E499" t="str">
        <f>IFERROR(VLOOKUP(D499,Cadastro!$B$4:$H$100,2,FALSE),"")</f>
        <v/>
      </c>
      <c r="F499" t="str">
        <f>IFERROR(VLOOKUP(D499,Cadastro!$B$4:$H$100,3,FALSE),"")</f>
        <v/>
      </c>
      <c r="J499" s="7"/>
      <c r="K499" s="7"/>
      <c r="L499" s="7"/>
      <c r="M499" s="7"/>
      <c r="N499" s="7"/>
      <c r="O499" s="7"/>
      <c r="P499" s="8">
        <f t="shared" si="38"/>
        <v>0</v>
      </c>
      <c r="Q499" s="8">
        <f t="shared" si="39"/>
        <v>0</v>
      </c>
      <c r="R499" s="8">
        <f t="shared" si="40"/>
        <v>0</v>
      </c>
    </row>
    <row r="500" spans="1:18">
      <c r="A500" s="6"/>
      <c r="B500" t="str">
        <f t="shared" si="36"/>
        <v/>
      </c>
      <c r="C500" t="str">
        <f t="shared" si="37"/>
        <v/>
      </c>
      <c r="E500" t="str">
        <f>IFERROR(VLOOKUP(D500,Cadastro!$B$4:$H$100,2,FALSE),"")</f>
        <v/>
      </c>
      <c r="F500" t="str">
        <f>IFERROR(VLOOKUP(D500,Cadastro!$B$4:$H$100,3,FALSE),"")</f>
        <v/>
      </c>
      <c r="J500" s="7"/>
      <c r="K500" s="7"/>
      <c r="L500" s="7"/>
      <c r="M500" s="7"/>
      <c r="N500" s="7"/>
      <c r="O500" s="7"/>
      <c r="P500" s="8">
        <f t="shared" si="38"/>
        <v>0</v>
      </c>
      <c r="Q500" s="8">
        <f t="shared" si="39"/>
        <v>0</v>
      </c>
      <c r="R500" s="8">
        <f t="shared" si="40"/>
        <v>0</v>
      </c>
    </row>
    <row r="501" spans="1:18">
      <c r="A501" s="6"/>
      <c r="B501" t="str">
        <f t="shared" si="36"/>
        <v/>
      </c>
      <c r="C501" t="str">
        <f t="shared" si="37"/>
        <v/>
      </c>
      <c r="E501" t="str">
        <f>IFERROR(VLOOKUP(D501,Cadastro!$B$4:$H$100,2,FALSE),"")</f>
        <v/>
      </c>
      <c r="F501" t="str">
        <f>IFERROR(VLOOKUP(D501,Cadastro!$B$4:$H$100,3,FALSE),"")</f>
        <v/>
      </c>
      <c r="J501" s="7"/>
      <c r="K501" s="7"/>
      <c r="L501" s="7"/>
      <c r="M501" s="7"/>
      <c r="N501" s="7"/>
      <c r="O501" s="7"/>
      <c r="P501" s="8">
        <f t="shared" si="38"/>
        <v>0</v>
      </c>
      <c r="Q501" s="8">
        <f t="shared" si="39"/>
        <v>0</v>
      </c>
      <c r="R501" s="8">
        <f t="shared" si="40"/>
        <v>0</v>
      </c>
    </row>
    <row r="502" spans="1:18">
      <c r="A502" s="6"/>
      <c r="B502" t="str">
        <f t="shared" si="36"/>
        <v/>
      </c>
      <c r="C502" t="str">
        <f t="shared" si="37"/>
        <v/>
      </c>
      <c r="E502" t="str">
        <f>IFERROR(VLOOKUP(D502,Cadastro!$B$4:$H$100,2,FALSE),"")</f>
        <v/>
      </c>
      <c r="F502" t="str">
        <f>IFERROR(VLOOKUP(D502,Cadastro!$B$4:$H$100,3,FALSE),"")</f>
        <v/>
      </c>
      <c r="J502" s="7"/>
      <c r="K502" s="7"/>
      <c r="L502" s="7"/>
      <c r="M502" s="7"/>
      <c r="N502" s="7"/>
      <c r="O502" s="7"/>
      <c r="P502" s="8">
        <f t="shared" si="38"/>
        <v>0</v>
      </c>
      <c r="Q502" s="8">
        <f t="shared" si="39"/>
        <v>0</v>
      </c>
      <c r="R502" s="8">
        <f t="shared" si="40"/>
        <v>0</v>
      </c>
    </row>
    <row r="503" spans="1:18">
      <c r="A503" s="6"/>
      <c r="B503" t="str">
        <f t="shared" si="36"/>
        <v/>
      </c>
      <c r="C503" t="str">
        <f t="shared" si="37"/>
        <v/>
      </c>
      <c r="E503" t="str">
        <f>IFERROR(VLOOKUP(D503,Cadastro!$B$4:$H$100,2,FALSE),"")</f>
        <v/>
      </c>
      <c r="F503" t="str">
        <f>IFERROR(VLOOKUP(D503,Cadastro!$B$4:$H$100,3,FALSE),"")</f>
        <v/>
      </c>
      <c r="J503" s="7"/>
      <c r="K503" s="7"/>
      <c r="L503" s="7"/>
      <c r="M503" s="7"/>
      <c r="N503" s="7"/>
      <c r="O503" s="7"/>
      <c r="P503" s="8">
        <f t="shared" si="38"/>
        <v>0</v>
      </c>
      <c r="Q503" s="8">
        <f t="shared" si="39"/>
        <v>0</v>
      </c>
      <c r="R503" s="8">
        <f t="shared" si="40"/>
        <v>0</v>
      </c>
    </row>
    <row r="504" spans="1:18">
      <c r="A504" s="6"/>
      <c r="B504" t="str">
        <f t="shared" si="36"/>
        <v/>
      </c>
      <c r="C504" t="str">
        <f t="shared" si="37"/>
        <v/>
      </c>
      <c r="E504" t="str">
        <f>IFERROR(VLOOKUP(D504,Cadastro!$B$4:$H$100,2,FALSE),"")</f>
        <v/>
      </c>
      <c r="F504" t="str">
        <f>IFERROR(VLOOKUP(D504,Cadastro!$B$4:$H$100,3,FALSE),"")</f>
        <v/>
      </c>
      <c r="J504" s="7"/>
      <c r="K504" s="7"/>
      <c r="L504" s="7"/>
      <c r="M504" s="7"/>
      <c r="N504" s="7"/>
      <c r="O504" s="7"/>
      <c r="P504" s="8">
        <f t="shared" si="38"/>
        <v>0</v>
      </c>
      <c r="Q504" s="8">
        <f t="shared" si="39"/>
        <v>0</v>
      </c>
      <c r="R504" s="8">
        <f t="shared" si="40"/>
        <v>0</v>
      </c>
    </row>
    <row r="505" spans="1:18">
      <c r="A505" s="6"/>
      <c r="B505" t="str">
        <f t="shared" si="36"/>
        <v/>
      </c>
      <c r="C505" t="str">
        <f t="shared" si="37"/>
        <v/>
      </c>
      <c r="E505" t="str">
        <f>IFERROR(VLOOKUP(D505,Cadastro!$B$4:$H$100,2,FALSE),"")</f>
        <v/>
      </c>
      <c r="F505" t="str">
        <f>IFERROR(VLOOKUP(D505,Cadastro!$B$4:$H$100,3,FALSE),"")</f>
        <v/>
      </c>
      <c r="J505" s="7"/>
      <c r="K505" s="7"/>
      <c r="L505" s="7"/>
      <c r="M505" s="7"/>
      <c r="N505" s="7"/>
      <c r="O505" s="7"/>
      <c r="P505" s="8">
        <f t="shared" si="38"/>
        <v>0</v>
      </c>
      <c r="Q505" s="8">
        <f t="shared" si="39"/>
        <v>0</v>
      </c>
      <c r="R505" s="8">
        <f t="shared" si="40"/>
        <v>0</v>
      </c>
    </row>
    <row r="506" spans="1:18">
      <c r="A506" s="6"/>
      <c r="B506" t="str">
        <f t="shared" si="36"/>
        <v/>
      </c>
      <c r="C506" t="str">
        <f t="shared" si="37"/>
        <v/>
      </c>
      <c r="E506" t="str">
        <f>IFERROR(VLOOKUP(D506,Cadastro!$B$4:$H$100,2,FALSE),"")</f>
        <v/>
      </c>
      <c r="F506" t="str">
        <f>IFERROR(VLOOKUP(D506,Cadastro!$B$4:$H$100,3,FALSE),"")</f>
        <v/>
      </c>
      <c r="J506" s="7"/>
      <c r="K506" s="7"/>
      <c r="L506" s="7"/>
      <c r="M506" s="7"/>
      <c r="N506" s="7"/>
      <c r="O506" s="7"/>
      <c r="P506" s="8">
        <f t="shared" si="38"/>
        <v>0</v>
      </c>
      <c r="Q506" s="8">
        <f t="shared" si="39"/>
        <v>0</v>
      </c>
      <c r="R506" s="8">
        <f t="shared" si="40"/>
        <v>0</v>
      </c>
    </row>
    <row r="507" spans="1:18">
      <c r="A507" s="6"/>
      <c r="B507" t="str">
        <f t="shared" si="36"/>
        <v/>
      </c>
      <c r="C507" t="str">
        <f t="shared" si="37"/>
        <v/>
      </c>
      <c r="E507" t="str">
        <f>IFERROR(VLOOKUP(D507,Cadastro!$B$4:$H$100,2,FALSE),"")</f>
        <v/>
      </c>
      <c r="F507" t="str">
        <f>IFERROR(VLOOKUP(D507,Cadastro!$B$4:$H$100,3,FALSE),"")</f>
        <v/>
      </c>
      <c r="J507" s="7"/>
      <c r="K507" s="7"/>
      <c r="L507" s="7"/>
      <c r="M507" s="7"/>
      <c r="N507" s="7"/>
      <c r="O507" s="7"/>
      <c r="P507" s="8">
        <f t="shared" si="38"/>
        <v>0</v>
      </c>
      <c r="Q507" s="8">
        <f t="shared" si="39"/>
        <v>0</v>
      </c>
      <c r="R507" s="8">
        <f t="shared" si="40"/>
        <v>0</v>
      </c>
    </row>
    <row r="508" spans="1:18">
      <c r="A508" s="6"/>
      <c r="B508" t="str">
        <f t="shared" si="36"/>
        <v/>
      </c>
      <c r="C508" t="str">
        <f t="shared" si="37"/>
        <v/>
      </c>
      <c r="E508" t="str">
        <f>IFERROR(VLOOKUP(D508,Cadastro!$B$4:$H$100,2,FALSE),"")</f>
        <v/>
      </c>
      <c r="F508" t="str">
        <f>IFERROR(VLOOKUP(D508,Cadastro!$B$4:$H$100,3,FALSE),"")</f>
        <v/>
      </c>
      <c r="J508" s="7"/>
      <c r="K508" s="7"/>
      <c r="L508" s="7"/>
      <c r="M508" s="7"/>
      <c r="N508" s="7"/>
      <c r="O508" s="7"/>
      <c r="P508" s="8">
        <f t="shared" si="38"/>
        <v>0</v>
      </c>
      <c r="Q508" s="8">
        <f t="shared" si="39"/>
        <v>0</v>
      </c>
      <c r="R508" s="8">
        <f t="shared" si="40"/>
        <v>0</v>
      </c>
    </row>
    <row r="509" spans="1:18">
      <c r="A509" s="6"/>
      <c r="B509" t="str">
        <f t="shared" si="36"/>
        <v/>
      </c>
      <c r="C509" t="str">
        <f t="shared" si="37"/>
        <v/>
      </c>
      <c r="E509" t="str">
        <f>IFERROR(VLOOKUP(D509,Cadastro!$B$4:$H$100,2,FALSE),"")</f>
        <v/>
      </c>
      <c r="F509" t="str">
        <f>IFERROR(VLOOKUP(D509,Cadastro!$B$4:$H$100,3,FALSE),"")</f>
        <v/>
      </c>
      <c r="J509" s="7"/>
      <c r="K509" s="7"/>
      <c r="L509" s="7"/>
      <c r="M509" s="7"/>
      <c r="N509" s="7"/>
      <c r="O509" s="7"/>
      <c r="P509" s="8">
        <f t="shared" si="38"/>
        <v>0</v>
      </c>
      <c r="Q509" s="8">
        <f t="shared" si="39"/>
        <v>0</v>
      </c>
      <c r="R509" s="8">
        <f t="shared" si="40"/>
        <v>0</v>
      </c>
    </row>
    <row r="510" spans="1:18">
      <c r="A510" s="6"/>
      <c r="B510" t="str">
        <f t="shared" si="36"/>
        <v/>
      </c>
      <c r="C510" t="str">
        <f t="shared" si="37"/>
        <v/>
      </c>
      <c r="E510" t="str">
        <f>IFERROR(VLOOKUP(D510,Cadastro!$B$4:$H$100,2,FALSE),"")</f>
        <v/>
      </c>
      <c r="F510" t="str">
        <f>IFERROR(VLOOKUP(D510,Cadastro!$B$4:$H$100,3,FALSE),"")</f>
        <v/>
      </c>
      <c r="J510" s="7"/>
      <c r="K510" s="7"/>
      <c r="L510" s="7"/>
      <c r="M510" s="7"/>
      <c r="N510" s="7"/>
      <c r="O510" s="7"/>
      <c r="P510" s="8">
        <f t="shared" si="38"/>
        <v>0</v>
      </c>
      <c r="Q510" s="8">
        <f t="shared" si="39"/>
        <v>0</v>
      </c>
      <c r="R510" s="8">
        <f t="shared" si="40"/>
        <v>0</v>
      </c>
    </row>
    <row r="511" spans="1:18">
      <c r="A511" s="6"/>
      <c r="B511" t="str">
        <f t="shared" si="36"/>
        <v/>
      </c>
      <c r="C511" t="str">
        <f t="shared" si="37"/>
        <v/>
      </c>
      <c r="E511" t="str">
        <f>IFERROR(VLOOKUP(D511,Cadastro!$B$4:$H$100,2,FALSE),"")</f>
        <v/>
      </c>
      <c r="F511" t="str">
        <f>IFERROR(VLOOKUP(D511,Cadastro!$B$4:$H$100,3,FALSE),"")</f>
        <v/>
      </c>
      <c r="J511" s="7"/>
      <c r="K511" s="7"/>
      <c r="L511" s="7"/>
      <c r="M511" s="7"/>
      <c r="N511" s="7"/>
      <c r="O511" s="7"/>
      <c r="P511" s="8">
        <f t="shared" si="38"/>
        <v>0</v>
      </c>
      <c r="Q511" s="8">
        <f t="shared" si="39"/>
        <v>0</v>
      </c>
      <c r="R511" s="8">
        <f t="shared" si="40"/>
        <v>0</v>
      </c>
    </row>
    <row r="512" spans="1:18">
      <c r="A512" s="6"/>
      <c r="B512" t="str">
        <f t="shared" si="36"/>
        <v/>
      </c>
      <c r="C512" t="str">
        <f t="shared" si="37"/>
        <v/>
      </c>
      <c r="E512" t="str">
        <f>IFERROR(VLOOKUP(D512,Cadastro!$B$4:$H$100,2,FALSE),"")</f>
        <v/>
      </c>
      <c r="F512" t="str">
        <f>IFERROR(VLOOKUP(D512,Cadastro!$B$4:$H$100,3,FALSE),"")</f>
        <v/>
      </c>
      <c r="J512" s="7"/>
      <c r="K512" s="7"/>
      <c r="L512" s="7"/>
      <c r="M512" s="7"/>
      <c r="N512" s="7"/>
      <c r="O512" s="7"/>
      <c r="P512" s="8">
        <f t="shared" si="38"/>
        <v>0</v>
      </c>
      <c r="Q512" s="8">
        <f t="shared" si="39"/>
        <v>0</v>
      </c>
      <c r="R512" s="8">
        <f t="shared" si="40"/>
        <v>0</v>
      </c>
    </row>
    <row r="513" spans="1:18">
      <c r="A513" s="6"/>
      <c r="B513" t="str">
        <f t="shared" si="36"/>
        <v/>
      </c>
      <c r="C513" t="str">
        <f t="shared" si="37"/>
        <v/>
      </c>
      <c r="E513" t="str">
        <f>IFERROR(VLOOKUP(D513,Cadastro!$B$4:$H$100,2,FALSE),"")</f>
        <v/>
      </c>
      <c r="F513" t="str">
        <f>IFERROR(VLOOKUP(D513,Cadastro!$B$4:$H$100,3,FALSE),"")</f>
        <v/>
      </c>
      <c r="J513" s="7"/>
      <c r="K513" s="7"/>
      <c r="L513" s="7"/>
      <c r="M513" s="7"/>
      <c r="N513" s="7"/>
      <c r="O513" s="7"/>
      <c r="P513" s="8">
        <f t="shared" si="38"/>
        <v>0</v>
      </c>
      <c r="Q513" s="8">
        <f t="shared" si="39"/>
        <v>0</v>
      </c>
      <c r="R513" s="8">
        <f t="shared" si="40"/>
        <v>0</v>
      </c>
    </row>
    <row r="514" spans="1:18">
      <c r="A514" s="6"/>
      <c r="B514" t="str">
        <f t="shared" si="36"/>
        <v/>
      </c>
      <c r="C514" t="str">
        <f t="shared" si="37"/>
        <v/>
      </c>
      <c r="E514" t="str">
        <f>IFERROR(VLOOKUP(D514,Cadastro!$B$4:$H$100,2,FALSE),"")</f>
        <v/>
      </c>
      <c r="F514" t="str">
        <f>IFERROR(VLOOKUP(D514,Cadastro!$B$4:$H$100,3,FALSE),"")</f>
        <v/>
      </c>
      <c r="J514" s="7"/>
      <c r="K514" s="7"/>
      <c r="L514" s="7"/>
      <c r="M514" s="7"/>
      <c r="N514" s="7"/>
      <c r="O514" s="7"/>
      <c r="P514" s="8">
        <f t="shared" si="38"/>
        <v>0</v>
      </c>
      <c r="Q514" s="8">
        <f t="shared" si="39"/>
        <v>0</v>
      </c>
      <c r="R514" s="8">
        <f t="shared" si="40"/>
        <v>0</v>
      </c>
    </row>
    <row r="515" spans="1:18">
      <c r="A515" s="6"/>
      <c r="B515" t="str">
        <f t="shared" si="36"/>
        <v/>
      </c>
      <c r="C515" t="str">
        <f t="shared" si="37"/>
        <v/>
      </c>
      <c r="E515" t="str">
        <f>IFERROR(VLOOKUP(D515,Cadastro!$B$4:$H$100,2,FALSE),"")</f>
        <v/>
      </c>
      <c r="F515" t="str">
        <f>IFERROR(VLOOKUP(D515,Cadastro!$B$4:$H$100,3,FALSE),"")</f>
        <v/>
      </c>
      <c r="J515" s="7"/>
      <c r="K515" s="7"/>
      <c r="L515" s="7"/>
      <c r="M515" s="7"/>
      <c r="N515" s="7"/>
      <c r="O515" s="7"/>
      <c r="P515" s="8">
        <f t="shared" si="38"/>
        <v>0</v>
      </c>
      <c r="Q515" s="8">
        <f t="shared" si="39"/>
        <v>0</v>
      </c>
      <c r="R515" s="8">
        <f t="shared" si="40"/>
        <v>0</v>
      </c>
    </row>
    <row r="516" spans="1:18">
      <c r="A516" s="6"/>
      <c r="B516" t="str">
        <f t="shared" ref="B516:B579" si="41">IF(A516="","",YEAR(A516))</f>
        <v/>
      </c>
      <c r="C516" t="str">
        <f t="shared" ref="C516:C579" si="42">IF(A516="","",TEXT(A516,"mmmm"))</f>
        <v/>
      </c>
      <c r="E516" t="str">
        <f>IFERROR(VLOOKUP(D516,Cadastro!$B$4:$H$100,2,FALSE),"")</f>
        <v/>
      </c>
      <c r="F516" t="str">
        <f>IFERROR(VLOOKUP(D516,Cadastro!$B$4:$H$100,3,FALSE),"")</f>
        <v/>
      </c>
      <c r="J516" s="7"/>
      <c r="K516" s="7"/>
      <c r="L516" s="7"/>
      <c r="M516" s="7"/>
      <c r="N516" s="7"/>
      <c r="O516" s="7"/>
      <c r="P516" s="8">
        <f t="shared" ref="P516:P579" si="43">IF(OR(J516="",K516=""),0,(K516-J516)*24)+IF(OR(L516="",M516=""),0,(M516-L516)*24)+IF(OR(N516="",O516=""),0,(O516-N516)*24)</f>
        <v>0</v>
      </c>
      <c r="Q516" s="8">
        <f t="shared" ref="Q516:Q579" si="44">IF(OR(I516="Prática",I516="Teórico-prática"),P516,0)</f>
        <v>0</v>
      </c>
      <c r="R516" s="8">
        <f t="shared" ref="R516:R579" si="45">IF(OR(I516="Teórica",I516="Teórico-prática"),P516,0)</f>
        <v>0</v>
      </c>
    </row>
    <row r="517" spans="1:18">
      <c r="A517" s="6"/>
      <c r="B517" t="str">
        <f t="shared" si="41"/>
        <v/>
      </c>
      <c r="C517" t="str">
        <f t="shared" si="42"/>
        <v/>
      </c>
      <c r="E517" t="str">
        <f>IFERROR(VLOOKUP(D517,Cadastro!$B$4:$H$100,2,FALSE),"")</f>
        <v/>
      </c>
      <c r="F517" t="str">
        <f>IFERROR(VLOOKUP(D517,Cadastro!$B$4:$H$100,3,FALSE),"")</f>
        <v/>
      </c>
      <c r="J517" s="7"/>
      <c r="K517" s="7"/>
      <c r="L517" s="7"/>
      <c r="M517" s="7"/>
      <c r="N517" s="7"/>
      <c r="O517" s="7"/>
      <c r="P517" s="8">
        <f t="shared" si="43"/>
        <v>0</v>
      </c>
      <c r="Q517" s="8">
        <f t="shared" si="44"/>
        <v>0</v>
      </c>
      <c r="R517" s="8">
        <f t="shared" si="45"/>
        <v>0</v>
      </c>
    </row>
    <row r="518" spans="1:18">
      <c r="A518" s="6"/>
      <c r="B518" t="str">
        <f t="shared" si="41"/>
        <v/>
      </c>
      <c r="C518" t="str">
        <f t="shared" si="42"/>
        <v/>
      </c>
      <c r="E518" t="str">
        <f>IFERROR(VLOOKUP(D518,Cadastro!$B$4:$H$100,2,FALSE),"")</f>
        <v/>
      </c>
      <c r="F518" t="str">
        <f>IFERROR(VLOOKUP(D518,Cadastro!$B$4:$H$100,3,FALSE),"")</f>
        <v/>
      </c>
      <c r="J518" s="7"/>
      <c r="K518" s="7"/>
      <c r="L518" s="7"/>
      <c r="M518" s="7"/>
      <c r="N518" s="7"/>
      <c r="O518" s="7"/>
      <c r="P518" s="8">
        <f t="shared" si="43"/>
        <v>0</v>
      </c>
      <c r="Q518" s="8">
        <f t="shared" si="44"/>
        <v>0</v>
      </c>
      <c r="R518" s="8">
        <f t="shared" si="45"/>
        <v>0</v>
      </c>
    </row>
    <row r="519" spans="1:18">
      <c r="A519" s="6"/>
      <c r="B519" t="str">
        <f t="shared" si="41"/>
        <v/>
      </c>
      <c r="C519" t="str">
        <f t="shared" si="42"/>
        <v/>
      </c>
      <c r="E519" t="str">
        <f>IFERROR(VLOOKUP(D519,Cadastro!$B$4:$H$100,2,FALSE),"")</f>
        <v/>
      </c>
      <c r="F519" t="str">
        <f>IFERROR(VLOOKUP(D519,Cadastro!$B$4:$H$100,3,FALSE),"")</f>
        <v/>
      </c>
      <c r="J519" s="7"/>
      <c r="K519" s="7"/>
      <c r="L519" s="7"/>
      <c r="M519" s="7"/>
      <c r="N519" s="7"/>
      <c r="O519" s="7"/>
      <c r="P519" s="8">
        <f t="shared" si="43"/>
        <v>0</v>
      </c>
      <c r="Q519" s="8">
        <f t="shared" si="44"/>
        <v>0</v>
      </c>
      <c r="R519" s="8">
        <f t="shared" si="45"/>
        <v>0</v>
      </c>
    </row>
    <row r="520" spans="1:18">
      <c r="A520" s="6"/>
      <c r="B520" t="str">
        <f t="shared" si="41"/>
        <v/>
      </c>
      <c r="C520" t="str">
        <f t="shared" si="42"/>
        <v/>
      </c>
      <c r="E520" t="str">
        <f>IFERROR(VLOOKUP(D520,Cadastro!$B$4:$H$100,2,FALSE),"")</f>
        <v/>
      </c>
      <c r="F520" t="str">
        <f>IFERROR(VLOOKUP(D520,Cadastro!$B$4:$H$100,3,FALSE),"")</f>
        <v/>
      </c>
      <c r="J520" s="7"/>
      <c r="K520" s="7"/>
      <c r="L520" s="7"/>
      <c r="M520" s="7"/>
      <c r="N520" s="7"/>
      <c r="O520" s="7"/>
      <c r="P520" s="8">
        <f t="shared" si="43"/>
        <v>0</v>
      </c>
      <c r="Q520" s="8">
        <f t="shared" si="44"/>
        <v>0</v>
      </c>
      <c r="R520" s="8">
        <f t="shared" si="45"/>
        <v>0</v>
      </c>
    </row>
    <row r="521" spans="1:18">
      <c r="A521" s="6"/>
      <c r="B521" t="str">
        <f t="shared" si="41"/>
        <v/>
      </c>
      <c r="C521" t="str">
        <f t="shared" si="42"/>
        <v/>
      </c>
      <c r="E521" t="str">
        <f>IFERROR(VLOOKUP(D521,Cadastro!$B$4:$H$100,2,FALSE),"")</f>
        <v/>
      </c>
      <c r="F521" t="str">
        <f>IFERROR(VLOOKUP(D521,Cadastro!$B$4:$H$100,3,FALSE),"")</f>
        <v/>
      </c>
      <c r="J521" s="7"/>
      <c r="K521" s="7"/>
      <c r="L521" s="7"/>
      <c r="M521" s="7"/>
      <c r="N521" s="7"/>
      <c r="O521" s="7"/>
      <c r="P521" s="8">
        <f t="shared" si="43"/>
        <v>0</v>
      </c>
      <c r="Q521" s="8">
        <f t="shared" si="44"/>
        <v>0</v>
      </c>
      <c r="R521" s="8">
        <f t="shared" si="45"/>
        <v>0</v>
      </c>
    </row>
    <row r="522" spans="1:18">
      <c r="A522" s="6"/>
      <c r="B522" t="str">
        <f t="shared" si="41"/>
        <v/>
      </c>
      <c r="C522" t="str">
        <f t="shared" si="42"/>
        <v/>
      </c>
      <c r="E522" t="str">
        <f>IFERROR(VLOOKUP(D522,Cadastro!$B$4:$H$100,2,FALSE),"")</f>
        <v/>
      </c>
      <c r="F522" t="str">
        <f>IFERROR(VLOOKUP(D522,Cadastro!$B$4:$H$100,3,FALSE),"")</f>
        <v/>
      </c>
      <c r="J522" s="7"/>
      <c r="K522" s="7"/>
      <c r="L522" s="7"/>
      <c r="M522" s="7"/>
      <c r="N522" s="7"/>
      <c r="O522" s="7"/>
      <c r="P522" s="8">
        <f t="shared" si="43"/>
        <v>0</v>
      </c>
      <c r="Q522" s="8">
        <f t="shared" si="44"/>
        <v>0</v>
      </c>
      <c r="R522" s="8">
        <f t="shared" si="45"/>
        <v>0</v>
      </c>
    </row>
    <row r="523" spans="1:18">
      <c r="A523" s="6"/>
      <c r="B523" t="str">
        <f t="shared" si="41"/>
        <v/>
      </c>
      <c r="C523" t="str">
        <f t="shared" si="42"/>
        <v/>
      </c>
      <c r="E523" t="str">
        <f>IFERROR(VLOOKUP(D523,Cadastro!$B$4:$H$100,2,FALSE),"")</f>
        <v/>
      </c>
      <c r="F523" t="str">
        <f>IFERROR(VLOOKUP(D523,Cadastro!$B$4:$H$100,3,FALSE),"")</f>
        <v/>
      </c>
      <c r="J523" s="7"/>
      <c r="K523" s="7"/>
      <c r="L523" s="7"/>
      <c r="M523" s="7"/>
      <c r="N523" s="7"/>
      <c r="O523" s="7"/>
      <c r="P523" s="8">
        <f t="shared" si="43"/>
        <v>0</v>
      </c>
      <c r="Q523" s="8">
        <f t="shared" si="44"/>
        <v>0</v>
      </c>
      <c r="R523" s="8">
        <f t="shared" si="45"/>
        <v>0</v>
      </c>
    </row>
    <row r="524" spans="1:18">
      <c r="A524" s="6"/>
      <c r="B524" t="str">
        <f t="shared" si="41"/>
        <v/>
      </c>
      <c r="C524" t="str">
        <f t="shared" si="42"/>
        <v/>
      </c>
      <c r="E524" t="str">
        <f>IFERROR(VLOOKUP(D524,Cadastro!$B$4:$H$100,2,FALSE),"")</f>
        <v/>
      </c>
      <c r="F524" t="str">
        <f>IFERROR(VLOOKUP(D524,Cadastro!$B$4:$H$100,3,FALSE),"")</f>
        <v/>
      </c>
      <c r="J524" s="7"/>
      <c r="K524" s="7"/>
      <c r="L524" s="7"/>
      <c r="M524" s="7"/>
      <c r="N524" s="7"/>
      <c r="O524" s="7"/>
      <c r="P524" s="8">
        <f t="shared" si="43"/>
        <v>0</v>
      </c>
      <c r="Q524" s="8">
        <f t="shared" si="44"/>
        <v>0</v>
      </c>
      <c r="R524" s="8">
        <f t="shared" si="45"/>
        <v>0</v>
      </c>
    </row>
    <row r="525" spans="1:18">
      <c r="A525" s="6"/>
      <c r="B525" t="str">
        <f t="shared" si="41"/>
        <v/>
      </c>
      <c r="C525" t="str">
        <f t="shared" si="42"/>
        <v/>
      </c>
      <c r="E525" t="str">
        <f>IFERROR(VLOOKUP(D525,Cadastro!$B$4:$H$100,2,FALSE),"")</f>
        <v/>
      </c>
      <c r="F525" t="str">
        <f>IFERROR(VLOOKUP(D525,Cadastro!$B$4:$H$100,3,FALSE),"")</f>
        <v/>
      </c>
      <c r="J525" s="7"/>
      <c r="K525" s="7"/>
      <c r="L525" s="7"/>
      <c r="M525" s="7"/>
      <c r="N525" s="7"/>
      <c r="O525" s="7"/>
      <c r="P525" s="8">
        <f t="shared" si="43"/>
        <v>0</v>
      </c>
      <c r="Q525" s="8">
        <f t="shared" si="44"/>
        <v>0</v>
      </c>
      <c r="R525" s="8">
        <f t="shared" si="45"/>
        <v>0</v>
      </c>
    </row>
    <row r="526" spans="1:18">
      <c r="A526" s="6"/>
      <c r="B526" t="str">
        <f t="shared" si="41"/>
        <v/>
      </c>
      <c r="C526" t="str">
        <f t="shared" si="42"/>
        <v/>
      </c>
      <c r="E526" t="str">
        <f>IFERROR(VLOOKUP(D526,Cadastro!$B$4:$H$100,2,FALSE),"")</f>
        <v/>
      </c>
      <c r="F526" t="str">
        <f>IFERROR(VLOOKUP(D526,Cadastro!$B$4:$H$100,3,FALSE),"")</f>
        <v/>
      </c>
      <c r="J526" s="7"/>
      <c r="K526" s="7"/>
      <c r="L526" s="7"/>
      <c r="M526" s="7"/>
      <c r="N526" s="7"/>
      <c r="O526" s="7"/>
      <c r="P526" s="8">
        <f t="shared" si="43"/>
        <v>0</v>
      </c>
      <c r="Q526" s="8">
        <f t="shared" si="44"/>
        <v>0</v>
      </c>
      <c r="R526" s="8">
        <f t="shared" si="45"/>
        <v>0</v>
      </c>
    </row>
    <row r="527" spans="1:18">
      <c r="A527" s="6"/>
      <c r="B527" t="str">
        <f t="shared" si="41"/>
        <v/>
      </c>
      <c r="C527" t="str">
        <f t="shared" si="42"/>
        <v/>
      </c>
      <c r="E527" t="str">
        <f>IFERROR(VLOOKUP(D527,Cadastro!$B$4:$H$100,2,FALSE),"")</f>
        <v/>
      </c>
      <c r="F527" t="str">
        <f>IFERROR(VLOOKUP(D527,Cadastro!$B$4:$H$100,3,FALSE),"")</f>
        <v/>
      </c>
      <c r="J527" s="7"/>
      <c r="K527" s="7"/>
      <c r="L527" s="7"/>
      <c r="M527" s="7"/>
      <c r="N527" s="7"/>
      <c r="O527" s="7"/>
      <c r="P527" s="8">
        <f t="shared" si="43"/>
        <v>0</v>
      </c>
      <c r="Q527" s="8">
        <f t="shared" si="44"/>
        <v>0</v>
      </c>
      <c r="R527" s="8">
        <f t="shared" si="45"/>
        <v>0</v>
      </c>
    </row>
    <row r="528" spans="1:18">
      <c r="A528" s="6"/>
      <c r="B528" t="str">
        <f t="shared" si="41"/>
        <v/>
      </c>
      <c r="C528" t="str">
        <f t="shared" si="42"/>
        <v/>
      </c>
      <c r="E528" t="str">
        <f>IFERROR(VLOOKUP(D528,Cadastro!$B$4:$H$100,2,FALSE),"")</f>
        <v/>
      </c>
      <c r="F528" t="str">
        <f>IFERROR(VLOOKUP(D528,Cadastro!$B$4:$H$100,3,FALSE),"")</f>
        <v/>
      </c>
      <c r="J528" s="7"/>
      <c r="K528" s="7"/>
      <c r="L528" s="7"/>
      <c r="M528" s="7"/>
      <c r="N528" s="7"/>
      <c r="O528" s="7"/>
      <c r="P528" s="8">
        <f t="shared" si="43"/>
        <v>0</v>
      </c>
      <c r="Q528" s="8">
        <f t="shared" si="44"/>
        <v>0</v>
      </c>
      <c r="R528" s="8">
        <f t="shared" si="45"/>
        <v>0</v>
      </c>
    </row>
    <row r="529" spans="1:18">
      <c r="A529" s="6"/>
      <c r="B529" t="str">
        <f t="shared" si="41"/>
        <v/>
      </c>
      <c r="C529" t="str">
        <f t="shared" si="42"/>
        <v/>
      </c>
      <c r="E529" t="str">
        <f>IFERROR(VLOOKUP(D529,Cadastro!$B$4:$H$100,2,FALSE),"")</f>
        <v/>
      </c>
      <c r="F529" t="str">
        <f>IFERROR(VLOOKUP(D529,Cadastro!$B$4:$H$100,3,FALSE),"")</f>
        <v/>
      </c>
      <c r="J529" s="7"/>
      <c r="K529" s="7"/>
      <c r="L529" s="7"/>
      <c r="M529" s="7"/>
      <c r="N529" s="7"/>
      <c r="O529" s="7"/>
      <c r="P529" s="8">
        <f t="shared" si="43"/>
        <v>0</v>
      </c>
      <c r="Q529" s="8">
        <f t="shared" si="44"/>
        <v>0</v>
      </c>
      <c r="R529" s="8">
        <f t="shared" si="45"/>
        <v>0</v>
      </c>
    </row>
    <row r="530" spans="1:18">
      <c r="A530" s="6"/>
      <c r="B530" t="str">
        <f t="shared" si="41"/>
        <v/>
      </c>
      <c r="C530" t="str">
        <f t="shared" si="42"/>
        <v/>
      </c>
      <c r="E530" t="str">
        <f>IFERROR(VLOOKUP(D530,Cadastro!$B$4:$H$100,2,FALSE),"")</f>
        <v/>
      </c>
      <c r="F530" t="str">
        <f>IFERROR(VLOOKUP(D530,Cadastro!$B$4:$H$100,3,FALSE),"")</f>
        <v/>
      </c>
      <c r="J530" s="7"/>
      <c r="K530" s="7"/>
      <c r="L530" s="7"/>
      <c r="M530" s="7"/>
      <c r="N530" s="7"/>
      <c r="O530" s="7"/>
      <c r="P530" s="8">
        <f t="shared" si="43"/>
        <v>0</v>
      </c>
      <c r="Q530" s="8">
        <f t="shared" si="44"/>
        <v>0</v>
      </c>
      <c r="R530" s="8">
        <f t="shared" si="45"/>
        <v>0</v>
      </c>
    </row>
    <row r="531" spans="1:18">
      <c r="A531" s="6"/>
      <c r="B531" t="str">
        <f t="shared" si="41"/>
        <v/>
      </c>
      <c r="C531" t="str">
        <f t="shared" si="42"/>
        <v/>
      </c>
      <c r="E531" t="str">
        <f>IFERROR(VLOOKUP(D531,Cadastro!$B$4:$H$100,2,FALSE),"")</f>
        <v/>
      </c>
      <c r="F531" t="str">
        <f>IFERROR(VLOOKUP(D531,Cadastro!$B$4:$H$100,3,FALSE),"")</f>
        <v/>
      </c>
      <c r="J531" s="7"/>
      <c r="K531" s="7"/>
      <c r="L531" s="7"/>
      <c r="M531" s="7"/>
      <c r="N531" s="7"/>
      <c r="O531" s="7"/>
      <c r="P531" s="8">
        <f t="shared" si="43"/>
        <v>0</v>
      </c>
      <c r="Q531" s="8">
        <f t="shared" si="44"/>
        <v>0</v>
      </c>
      <c r="R531" s="8">
        <f t="shared" si="45"/>
        <v>0</v>
      </c>
    </row>
    <row r="532" spans="1:18">
      <c r="A532" s="6"/>
      <c r="B532" t="str">
        <f t="shared" si="41"/>
        <v/>
      </c>
      <c r="C532" t="str">
        <f t="shared" si="42"/>
        <v/>
      </c>
      <c r="E532" t="str">
        <f>IFERROR(VLOOKUP(D532,Cadastro!$B$4:$H$100,2,FALSE),"")</f>
        <v/>
      </c>
      <c r="F532" t="str">
        <f>IFERROR(VLOOKUP(D532,Cadastro!$B$4:$H$100,3,FALSE),"")</f>
        <v/>
      </c>
      <c r="J532" s="7"/>
      <c r="K532" s="7"/>
      <c r="L532" s="7"/>
      <c r="M532" s="7"/>
      <c r="N532" s="7"/>
      <c r="O532" s="7"/>
      <c r="P532" s="8">
        <f t="shared" si="43"/>
        <v>0</v>
      </c>
      <c r="Q532" s="8">
        <f t="shared" si="44"/>
        <v>0</v>
      </c>
      <c r="R532" s="8">
        <f t="shared" si="45"/>
        <v>0</v>
      </c>
    </row>
    <row r="533" spans="1:18">
      <c r="A533" s="6"/>
      <c r="B533" t="str">
        <f t="shared" si="41"/>
        <v/>
      </c>
      <c r="C533" t="str">
        <f t="shared" si="42"/>
        <v/>
      </c>
      <c r="E533" t="str">
        <f>IFERROR(VLOOKUP(D533,Cadastro!$B$4:$H$100,2,FALSE),"")</f>
        <v/>
      </c>
      <c r="F533" t="str">
        <f>IFERROR(VLOOKUP(D533,Cadastro!$B$4:$H$100,3,FALSE),"")</f>
        <v/>
      </c>
      <c r="J533" s="7"/>
      <c r="K533" s="7"/>
      <c r="L533" s="7"/>
      <c r="M533" s="7"/>
      <c r="N533" s="7"/>
      <c r="O533" s="7"/>
      <c r="P533" s="8">
        <f t="shared" si="43"/>
        <v>0</v>
      </c>
      <c r="Q533" s="8">
        <f t="shared" si="44"/>
        <v>0</v>
      </c>
      <c r="R533" s="8">
        <f t="shared" si="45"/>
        <v>0</v>
      </c>
    </row>
    <row r="534" spans="1:18">
      <c r="A534" s="6"/>
      <c r="B534" t="str">
        <f t="shared" si="41"/>
        <v/>
      </c>
      <c r="C534" t="str">
        <f t="shared" si="42"/>
        <v/>
      </c>
      <c r="E534" t="str">
        <f>IFERROR(VLOOKUP(D534,Cadastro!$B$4:$H$100,2,FALSE),"")</f>
        <v/>
      </c>
      <c r="F534" t="str">
        <f>IFERROR(VLOOKUP(D534,Cadastro!$B$4:$H$100,3,FALSE),"")</f>
        <v/>
      </c>
      <c r="J534" s="7"/>
      <c r="K534" s="7"/>
      <c r="L534" s="7"/>
      <c r="M534" s="7"/>
      <c r="N534" s="7"/>
      <c r="O534" s="7"/>
      <c r="P534" s="8">
        <f t="shared" si="43"/>
        <v>0</v>
      </c>
      <c r="Q534" s="8">
        <f t="shared" si="44"/>
        <v>0</v>
      </c>
      <c r="R534" s="8">
        <f t="shared" si="45"/>
        <v>0</v>
      </c>
    </row>
    <row r="535" spans="1:18">
      <c r="A535" s="6"/>
      <c r="B535" t="str">
        <f t="shared" si="41"/>
        <v/>
      </c>
      <c r="C535" t="str">
        <f t="shared" si="42"/>
        <v/>
      </c>
      <c r="E535" t="str">
        <f>IFERROR(VLOOKUP(D535,Cadastro!$B$4:$H$100,2,FALSE),"")</f>
        <v/>
      </c>
      <c r="F535" t="str">
        <f>IFERROR(VLOOKUP(D535,Cadastro!$B$4:$H$100,3,FALSE),"")</f>
        <v/>
      </c>
      <c r="J535" s="7"/>
      <c r="K535" s="7"/>
      <c r="L535" s="7"/>
      <c r="M535" s="7"/>
      <c r="N535" s="7"/>
      <c r="O535" s="7"/>
      <c r="P535" s="8">
        <f t="shared" si="43"/>
        <v>0</v>
      </c>
      <c r="Q535" s="8">
        <f t="shared" si="44"/>
        <v>0</v>
      </c>
      <c r="R535" s="8">
        <f t="shared" si="45"/>
        <v>0</v>
      </c>
    </row>
    <row r="536" spans="1:18">
      <c r="A536" s="6"/>
      <c r="B536" t="str">
        <f t="shared" si="41"/>
        <v/>
      </c>
      <c r="C536" t="str">
        <f t="shared" si="42"/>
        <v/>
      </c>
      <c r="E536" t="str">
        <f>IFERROR(VLOOKUP(D536,Cadastro!$B$4:$H$100,2,FALSE),"")</f>
        <v/>
      </c>
      <c r="F536" t="str">
        <f>IFERROR(VLOOKUP(D536,Cadastro!$B$4:$H$100,3,FALSE),"")</f>
        <v/>
      </c>
      <c r="J536" s="7"/>
      <c r="K536" s="7"/>
      <c r="L536" s="7"/>
      <c r="M536" s="7"/>
      <c r="N536" s="7"/>
      <c r="O536" s="7"/>
      <c r="P536" s="8">
        <f t="shared" si="43"/>
        <v>0</v>
      </c>
      <c r="Q536" s="8">
        <f t="shared" si="44"/>
        <v>0</v>
      </c>
      <c r="R536" s="8">
        <f t="shared" si="45"/>
        <v>0</v>
      </c>
    </row>
    <row r="537" spans="1:18">
      <c r="A537" s="6"/>
      <c r="B537" t="str">
        <f t="shared" si="41"/>
        <v/>
      </c>
      <c r="C537" t="str">
        <f t="shared" si="42"/>
        <v/>
      </c>
      <c r="E537" t="str">
        <f>IFERROR(VLOOKUP(D537,Cadastro!$B$4:$H$100,2,FALSE),"")</f>
        <v/>
      </c>
      <c r="F537" t="str">
        <f>IFERROR(VLOOKUP(D537,Cadastro!$B$4:$H$100,3,FALSE),"")</f>
        <v/>
      </c>
      <c r="J537" s="7"/>
      <c r="K537" s="7"/>
      <c r="L537" s="7"/>
      <c r="M537" s="7"/>
      <c r="N537" s="7"/>
      <c r="O537" s="7"/>
      <c r="P537" s="8">
        <f t="shared" si="43"/>
        <v>0</v>
      </c>
      <c r="Q537" s="8">
        <f t="shared" si="44"/>
        <v>0</v>
      </c>
      <c r="R537" s="8">
        <f t="shared" si="45"/>
        <v>0</v>
      </c>
    </row>
    <row r="538" spans="1:18">
      <c r="A538" s="6"/>
      <c r="B538" t="str">
        <f t="shared" si="41"/>
        <v/>
      </c>
      <c r="C538" t="str">
        <f t="shared" si="42"/>
        <v/>
      </c>
      <c r="E538" t="str">
        <f>IFERROR(VLOOKUP(D538,Cadastro!$B$4:$H$100,2,FALSE),"")</f>
        <v/>
      </c>
      <c r="F538" t="str">
        <f>IFERROR(VLOOKUP(D538,Cadastro!$B$4:$H$100,3,FALSE),"")</f>
        <v/>
      </c>
      <c r="J538" s="7"/>
      <c r="K538" s="7"/>
      <c r="L538" s="7"/>
      <c r="M538" s="7"/>
      <c r="N538" s="7"/>
      <c r="O538" s="7"/>
      <c r="P538" s="8">
        <f t="shared" si="43"/>
        <v>0</v>
      </c>
      <c r="Q538" s="8">
        <f t="shared" si="44"/>
        <v>0</v>
      </c>
      <c r="R538" s="8">
        <f t="shared" si="45"/>
        <v>0</v>
      </c>
    </row>
    <row r="539" spans="1:18">
      <c r="A539" s="6"/>
      <c r="B539" t="str">
        <f t="shared" si="41"/>
        <v/>
      </c>
      <c r="C539" t="str">
        <f t="shared" si="42"/>
        <v/>
      </c>
      <c r="E539" t="str">
        <f>IFERROR(VLOOKUP(D539,Cadastro!$B$4:$H$100,2,FALSE),"")</f>
        <v/>
      </c>
      <c r="F539" t="str">
        <f>IFERROR(VLOOKUP(D539,Cadastro!$B$4:$H$100,3,FALSE),"")</f>
        <v/>
      </c>
      <c r="J539" s="7"/>
      <c r="K539" s="7"/>
      <c r="L539" s="7"/>
      <c r="M539" s="7"/>
      <c r="N539" s="7"/>
      <c r="O539" s="7"/>
      <c r="P539" s="8">
        <f t="shared" si="43"/>
        <v>0</v>
      </c>
      <c r="Q539" s="8">
        <f t="shared" si="44"/>
        <v>0</v>
      </c>
      <c r="R539" s="8">
        <f t="shared" si="45"/>
        <v>0</v>
      </c>
    </row>
    <row r="540" spans="1:18">
      <c r="A540" s="6"/>
      <c r="B540" t="str">
        <f t="shared" si="41"/>
        <v/>
      </c>
      <c r="C540" t="str">
        <f t="shared" si="42"/>
        <v/>
      </c>
      <c r="E540" t="str">
        <f>IFERROR(VLOOKUP(D540,Cadastro!$B$4:$H$100,2,FALSE),"")</f>
        <v/>
      </c>
      <c r="F540" t="str">
        <f>IFERROR(VLOOKUP(D540,Cadastro!$B$4:$H$100,3,FALSE),"")</f>
        <v/>
      </c>
      <c r="J540" s="7"/>
      <c r="K540" s="7"/>
      <c r="L540" s="7"/>
      <c r="M540" s="7"/>
      <c r="N540" s="7"/>
      <c r="O540" s="7"/>
      <c r="P540" s="8">
        <f t="shared" si="43"/>
        <v>0</v>
      </c>
      <c r="Q540" s="8">
        <f t="shared" si="44"/>
        <v>0</v>
      </c>
      <c r="R540" s="8">
        <f t="shared" si="45"/>
        <v>0</v>
      </c>
    </row>
    <row r="541" spans="1:18">
      <c r="A541" s="6"/>
      <c r="B541" t="str">
        <f t="shared" si="41"/>
        <v/>
      </c>
      <c r="C541" t="str">
        <f t="shared" si="42"/>
        <v/>
      </c>
      <c r="E541" t="str">
        <f>IFERROR(VLOOKUP(D541,Cadastro!$B$4:$H$100,2,FALSE),"")</f>
        <v/>
      </c>
      <c r="F541" t="str">
        <f>IFERROR(VLOOKUP(D541,Cadastro!$B$4:$H$100,3,FALSE),"")</f>
        <v/>
      </c>
      <c r="J541" s="7"/>
      <c r="K541" s="7"/>
      <c r="L541" s="7"/>
      <c r="M541" s="7"/>
      <c r="N541" s="7"/>
      <c r="O541" s="7"/>
      <c r="P541" s="8">
        <f t="shared" si="43"/>
        <v>0</v>
      </c>
      <c r="Q541" s="8">
        <f t="shared" si="44"/>
        <v>0</v>
      </c>
      <c r="R541" s="8">
        <f t="shared" si="45"/>
        <v>0</v>
      </c>
    </row>
    <row r="542" spans="1:18">
      <c r="A542" s="6"/>
      <c r="B542" t="str">
        <f t="shared" si="41"/>
        <v/>
      </c>
      <c r="C542" t="str">
        <f t="shared" si="42"/>
        <v/>
      </c>
      <c r="E542" t="str">
        <f>IFERROR(VLOOKUP(D542,Cadastro!$B$4:$H$100,2,FALSE),"")</f>
        <v/>
      </c>
      <c r="F542" t="str">
        <f>IFERROR(VLOOKUP(D542,Cadastro!$B$4:$H$100,3,FALSE),"")</f>
        <v/>
      </c>
      <c r="J542" s="7"/>
      <c r="K542" s="7"/>
      <c r="L542" s="7"/>
      <c r="M542" s="7"/>
      <c r="N542" s="7"/>
      <c r="O542" s="7"/>
      <c r="P542" s="8">
        <f t="shared" si="43"/>
        <v>0</v>
      </c>
      <c r="Q542" s="8">
        <f t="shared" si="44"/>
        <v>0</v>
      </c>
      <c r="R542" s="8">
        <f t="shared" si="45"/>
        <v>0</v>
      </c>
    </row>
    <row r="543" spans="1:18">
      <c r="A543" s="6"/>
      <c r="B543" t="str">
        <f t="shared" si="41"/>
        <v/>
      </c>
      <c r="C543" t="str">
        <f t="shared" si="42"/>
        <v/>
      </c>
      <c r="E543" t="str">
        <f>IFERROR(VLOOKUP(D543,Cadastro!$B$4:$H$100,2,FALSE),"")</f>
        <v/>
      </c>
      <c r="F543" t="str">
        <f>IFERROR(VLOOKUP(D543,Cadastro!$B$4:$H$100,3,FALSE),"")</f>
        <v/>
      </c>
      <c r="J543" s="7"/>
      <c r="K543" s="7"/>
      <c r="L543" s="7"/>
      <c r="M543" s="7"/>
      <c r="N543" s="7"/>
      <c r="O543" s="7"/>
      <c r="P543" s="8">
        <f t="shared" si="43"/>
        <v>0</v>
      </c>
      <c r="Q543" s="8">
        <f t="shared" si="44"/>
        <v>0</v>
      </c>
      <c r="R543" s="8">
        <f t="shared" si="45"/>
        <v>0</v>
      </c>
    </row>
    <row r="544" spans="1:18">
      <c r="A544" s="6"/>
      <c r="B544" t="str">
        <f t="shared" si="41"/>
        <v/>
      </c>
      <c r="C544" t="str">
        <f t="shared" si="42"/>
        <v/>
      </c>
      <c r="E544" t="str">
        <f>IFERROR(VLOOKUP(D544,Cadastro!$B$4:$H$100,2,FALSE),"")</f>
        <v/>
      </c>
      <c r="F544" t="str">
        <f>IFERROR(VLOOKUP(D544,Cadastro!$B$4:$H$100,3,FALSE),"")</f>
        <v/>
      </c>
      <c r="J544" s="7"/>
      <c r="K544" s="7"/>
      <c r="L544" s="7"/>
      <c r="M544" s="7"/>
      <c r="N544" s="7"/>
      <c r="O544" s="7"/>
      <c r="P544" s="8">
        <f t="shared" si="43"/>
        <v>0</v>
      </c>
      <c r="Q544" s="8">
        <f t="shared" si="44"/>
        <v>0</v>
      </c>
      <c r="R544" s="8">
        <f t="shared" si="45"/>
        <v>0</v>
      </c>
    </row>
    <row r="545" spans="1:18">
      <c r="A545" s="6"/>
      <c r="B545" t="str">
        <f t="shared" si="41"/>
        <v/>
      </c>
      <c r="C545" t="str">
        <f t="shared" si="42"/>
        <v/>
      </c>
      <c r="E545" t="str">
        <f>IFERROR(VLOOKUP(D545,Cadastro!$B$4:$H$100,2,FALSE),"")</f>
        <v/>
      </c>
      <c r="F545" t="str">
        <f>IFERROR(VLOOKUP(D545,Cadastro!$B$4:$H$100,3,FALSE),"")</f>
        <v/>
      </c>
      <c r="J545" s="7"/>
      <c r="K545" s="7"/>
      <c r="L545" s="7"/>
      <c r="M545" s="7"/>
      <c r="N545" s="7"/>
      <c r="O545" s="7"/>
      <c r="P545" s="8">
        <f t="shared" si="43"/>
        <v>0</v>
      </c>
      <c r="Q545" s="8">
        <f t="shared" si="44"/>
        <v>0</v>
      </c>
      <c r="R545" s="8">
        <f t="shared" si="45"/>
        <v>0</v>
      </c>
    </row>
    <row r="546" spans="1:18">
      <c r="A546" s="6"/>
      <c r="B546" t="str">
        <f t="shared" si="41"/>
        <v/>
      </c>
      <c r="C546" t="str">
        <f t="shared" si="42"/>
        <v/>
      </c>
      <c r="E546" t="str">
        <f>IFERROR(VLOOKUP(D546,Cadastro!$B$4:$H$100,2,FALSE),"")</f>
        <v/>
      </c>
      <c r="F546" t="str">
        <f>IFERROR(VLOOKUP(D546,Cadastro!$B$4:$H$100,3,FALSE),"")</f>
        <v/>
      </c>
      <c r="J546" s="7"/>
      <c r="K546" s="7"/>
      <c r="L546" s="7"/>
      <c r="M546" s="7"/>
      <c r="N546" s="7"/>
      <c r="O546" s="7"/>
      <c r="P546" s="8">
        <f t="shared" si="43"/>
        <v>0</v>
      </c>
      <c r="Q546" s="8">
        <f t="shared" si="44"/>
        <v>0</v>
      </c>
      <c r="R546" s="8">
        <f t="shared" si="45"/>
        <v>0</v>
      </c>
    </row>
    <row r="547" spans="1:18">
      <c r="A547" s="6"/>
      <c r="B547" t="str">
        <f t="shared" si="41"/>
        <v/>
      </c>
      <c r="C547" t="str">
        <f t="shared" si="42"/>
        <v/>
      </c>
      <c r="E547" t="str">
        <f>IFERROR(VLOOKUP(D547,Cadastro!$B$4:$H$100,2,FALSE),"")</f>
        <v/>
      </c>
      <c r="F547" t="str">
        <f>IFERROR(VLOOKUP(D547,Cadastro!$B$4:$H$100,3,FALSE),"")</f>
        <v/>
      </c>
      <c r="J547" s="7"/>
      <c r="K547" s="7"/>
      <c r="L547" s="7"/>
      <c r="M547" s="7"/>
      <c r="N547" s="7"/>
      <c r="O547" s="7"/>
      <c r="P547" s="8">
        <f t="shared" si="43"/>
        <v>0</v>
      </c>
      <c r="Q547" s="8">
        <f t="shared" si="44"/>
        <v>0</v>
      </c>
      <c r="R547" s="8">
        <f t="shared" si="45"/>
        <v>0</v>
      </c>
    </row>
    <row r="548" spans="1:18">
      <c r="A548" s="6"/>
      <c r="B548" t="str">
        <f t="shared" si="41"/>
        <v/>
      </c>
      <c r="C548" t="str">
        <f t="shared" si="42"/>
        <v/>
      </c>
      <c r="E548" t="str">
        <f>IFERROR(VLOOKUP(D548,Cadastro!$B$4:$H$100,2,FALSE),"")</f>
        <v/>
      </c>
      <c r="F548" t="str">
        <f>IFERROR(VLOOKUP(D548,Cadastro!$B$4:$H$100,3,FALSE),"")</f>
        <v/>
      </c>
      <c r="J548" s="7"/>
      <c r="K548" s="7"/>
      <c r="L548" s="7"/>
      <c r="M548" s="7"/>
      <c r="N548" s="7"/>
      <c r="O548" s="7"/>
      <c r="P548" s="8">
        <f t="shared" si="43"/>
        <v>0</v>
      </c>
      <c r="Q548" s="8">
        <f t="shared" si="44"/>
        <v>0</v>
      </c>
      <c r="R548" s="8">
        <f t="shared" si="45"/>
        <v>0</v>
      </c>
    </row>
    <row r="549" spans="1:18">
      <c r="A549" s="6"/>
      <c r="B549" t="str">
        <f t="shared" si="41"/>
        <v/>
      </c>
      <c r="C549" t="str">
        <f t="shared" si="42"/>
        <v/>
      </c>
      <c r="E549" t="str">
        <f>IFERROR(VLOOKUP(D549,Cadastro!$B$4:$H$100,2,FALSE),"")</f>
        <v/>
      </c>
      <c r="F549" t="str">
        <f>IFERROR(VLOOKUP(D549,Cadastro!$B$4:$H$100,3,FALSE),"")</f>
        <v/>
      </c>
      <c r="J549" s="7"/>
      <c r="K549" s="7"/>
      <c r="L549" s="7"/>
      <c r="M549" s="7"/>
      <c r="N549" s="7"/>
      <c r="O549" s="7"/>
      <c r="P549" s="8">
        <f t="shared" si="43"/>
        <v>0</v>
      </c>
      <c r="Q549" s="8">
        <f t="shared" si="44"/>
        <v>0</v>
      </c>
      <c r="R549" s="8">
        <f t="shared" si="45"/>
        <v>0</v>
      </c>
    </row>
    <row r="550" spans="1:18">
      <c r="A550" s="6"/>
      <c r="B550" t="str">
        <f t="shared" si="41"/>
        <v/>
      </c>
      <c r="C550" t="str">
        <f t="shared" si="42"/>
        <v/>
      </c>
      <c r="E550" t="str">
        <f>IFERROR(VLOOKUP(D550,Cadastro!$B$4:$H$100,2,FALSE),"")</f>
        <v/>
      </c>
      <c r="F550" t="str">
        <f>IFERROR(VLOOKUP(D550,Cadastro!$B$4:$H$100,3,FALSE),"")</f>
        <v/>
      </c>
      <c r="J550" s="7"/>
      <c r="K550" s="7"/>
      <c r="L550" s="7"/>
      <c r="M550" s="7"/>
      <c r="N550" s="7"/>
      <c r="O550" s="7"/>
      <c r="P550" s="8">
        <f t="shared" si="43"/>
        <v>0</v>
      </c>
      <c r="Q550" s="8">
        <f t="shared" si="44"/>
        <v>0</v>
      </c>
      <c r="R550" s="8">
        <f t="shared" si="45"/>
        <v>0</v>
      </c>
    </row>
    <row r="551" spans="1:18">
      <c r="A551" s="6"/>
      <c r="B551" t="str">
        <f t="shared" si="41"/>
        <v/>
      </c>
      <c r="C551" t="str">
        <f t="shared" si="42"/>
        <v/>
      </c>
      <c r="E551" t="str">
        <f>IFERROR(VLOOKUP(D551,Cadastro!$B$4:$H$100,2,FALSE),"")</f>
        <v/>
      </c>
      <c r="F551" t="str">
        <f>IFERROR(VLOOKUP(D551,Cadastro!$B$4:$H$100,3,FALSE),"")</f>
        <v/>
      </c>
      <c r="J551" s="7"/>
      <c r="K551" s="7"/>
      <c r="L551" s="7"/>
      <c r="M551" s="7"/>
      <c r="N551" s="7"/>
      <c r="O551" s="7"/>
      <c r="P551" s="8">
        <f t="shared" si="43"/>
        <v>0</v>
      </c>
      <c r="Q551" s="8">
        <f t="shared" si="44"/>
        <v>0</v>
      </c>
      <c r="R551" s="8">
        <f t="shared" si="45"/>
        <v>0</v>
      </c>
    </row>
    <row r="552" spans="1:18">
      <c r="A552" s="6"/>
      <c r="B552" t="str">
        <f t="shared" si="41"/>
        <v/>
      </c>
      <c r="C552" t="str">
        <f t="shared" si="42"/>
        <v/>
      </c>
      <c r="E552" t="str">
        <f>IFERROR(VLOOKUP(D552,Cadastro!$B$4:$H$100,2,FALSE),"")</f>
        <v/>
      </c>
      <c r="F552" t="str">
        <f>IFERROR(VLOOKUP(D552,Cadastro!$B$4:$H$100,3,FALSE),"")</f>
        <v/>
      </c>
      <c r="J552" s="7"/>
      <c r="K552" s="7"/>
      <c r="L552" s="7"/>
      <c r="M552" s="7"/>
      <c r="N552" s="7"/>
      <c r="O552" s="7"/>
      <c r="P552" s="8">
        <f t="shared" si="43"/>
        <v>0</v>
      </c>
      <c r="Q552" s="8">
        <f t="shared" si="44"/>
        <v>0</v>
      </c>
      <c r="R552" s="8">
        <f t="shared" si="45"/>
        <v>0</v>
      </c>
    </row>
    <row r="553" spans="1:18">
      <c r="A553" s="6"/>
      <c r="B553" t="str">
        <f t="shared" si="41"/>
        <v/>
      </c>
      <c r="C553" t="str">
        <f t="shared" si="42"/>
        <v/>
      </c>
      <c r="E553" t="str">
        <f>IFERROR(VLOOKUP(D553,Cadastro!$B$4:$H$100,2,FALSE),"")</f>
        <v/>
      </c>
      <c r="F553" t="str">
        <f>IFERROR(VLOOKUP(D553,Cadastro!$B$4:$H$100,3,FALSE),"")</f>
        <v/>
      </c>
      <c r="J553" s="7"/>
      <c r="K553" s="7"/>
      <c r="L553" s="7"/>
      <c r="M553" s="7"/>
      <c r="N553" s="7"/>
      <c r="O553" s="7"/>
      <c r="P553" s="8">
        <f t="shared" si="43"/>
        <v>0</v>
      </c>
      <c r="Q553" s="8">
        <f t="shared" si="44"/>
        <v>0</v>
      </c>
      <c r="R553" s="8">
        <f t="shared" si="45"/>
        <v>0</v>
      </c>
    </row>
    <row r="554" spans="1:18">
      <c r="A554" s="6"/>
      <c r="B554" t="str">
        <f t="shared" si="41"/>
        <v/>
      </c>
      <c r="C554" t="str">
        <f t="shared" si="42"/>
        <v/>
      </c>
      <c r="E554" t="str">
        <f>IFERROR(VLOOKUP(D554,Cadastro!$B$4:$H$100,2,FALSE),"")</f>
        <v/>
      </c>
      <c r="F554" t="str">
        <f>IFERROR(VLOOKUP(D554,Cadastro!$B$4:$H$100,3,FALSE),"")</f>
        <v/>
      </c>
      <c r="J554" s="7"/>
      <c r="K554" s="7"/>
      <c r="L554" s="7"/>
      <c r="M554" s="7"/>
      <c r="N554" s="7"/>
      <c r="O554" s="7"/>
      <c r="P554" s="8">
        <f t="shared" si="43"/>
        <v>0</v>
      </c>
      <c r="Q554" s="8">
        <f t="shared" si="44"/>
        <v>0</v>
      </c>
      <c r="R554" s="8">
        <f t="shared" si="45"/>
        <v>0</v>
      </c>
    </row>
    <row r="555" spans="1:18">
      <c r="A555" s="6"/>
      <c r="B555" t="str">
        <f t="shared" si="41"/>
        <v/>
      </c>
      <c r="C555" t="str">
        <f t="shared" si="42"/>
        <v/>
      </c>
      <c r="E555" t="str">
        <f>IFERROR(VLOOKUP(D555,Cadastro!$B$4:$H$100,2,FALSE),"")</f>
        <v/>
      </c>
      <c r="F555" t="str">
        <f>IFERROR(VLOOKUP(D555,Cadastro!$B$4:$H$100,3,FALSE),"")</f>
        <v/>
      </c>
      <c r="J555" s="7"/>
      <c r="K555" s="7"/>
      <c r="L555" s="7"/>
      <c r="M555" s="7"/>
      <c r="N555" s="7"/>
      <c r="O555" s="7"/>
      <c r="P555" s="8">
        <f t="shared" si="43"/>
        <v>0</v>
      </c>
      <c r="Q555" s="8">
        <f t="shared" si="44"/>
        <v>0</v>
      </c>
      <c r="R555" s="8">
        <f t="shared" si="45"/>
        <v>0</v>
      </c>
    </row>
    <row r="556" spans="1:18">
      <c r="A556" s="6"/>
      <c r="B556" t="str">
        <f t="shared" si="41"/>
        <v/>
      </c>
      <c r="C556" t="str">
        <f t="shared" si="42"/>
        <v/>
      </c>
      <c r="E556" t="str">
        <f>IFERROR(VLOOKUP(D556,Cadastro!$B$4:$H$100,2,FALSE),"")</f>
        <v/>
      </c>
      <c r="F556" t="str">
        <f>IFERROR(VLOOKUP(D556,Cadastro!$B$4:$H$100,3,FALSE),"")</f>
        <v/>
      </c>
      <c r="J556" s="7"/>
      <c r="K556" s="7"/>
      <c r="L556" s="7"/>
      <c r="M556" s="7"/>
      <c r="N556" s="7"/>
      <c r="O556" s="7"/>
      <c r="P556" s="8">
        <f t="shared" si="43"/>
        <v>0</v>
      </c>
      <c r="Q556" s="8">
        <f t="shared" si="44"/>
        <v>0</v>
      </c>
      <c r="R556" s="8">
        <f t="shared" si="45"/>
        <v>0</v>
      </c>
    </row>
    <row r="557" spans="1:18">
      <c r="A557" s="6"/>
      <c r="B557" t="str">
        <f t="shared" si="41"/>
        <v/>
      </c>
      <c r="C557" t="str">
        <f t="shared" si="42"/>
        <v/>
      </c>
      <c r="E557" t="str">
        <f>IFERROR(VLOOKUP(D557,Cadastro!$B$4:$H$100,2,FALSE),"")</f>
        <v/>
      </c>
      <c r="F557" t="str">
        <f>IFERROR(VLOOKUP(D557,Cadastro!$B$4:$H$100,3,FALSE),"")</f>
        <v/>
      </c>
      <c r="J557" s="7"/>
      <c r="K557" s="7"/>
      <c r="L557" s="7"/>
      <c r="M557" s="7"/>
      <c r="N557" s="7"/>
      <c r="O557" s="7"/>
      <c r="P557" s="8">
        <f t="shared" si="43"/>
        <v>0</v>
      </c>
      <c r="Q557" s="8">
        <f t="shared" si="44"/>
        <v>0</v>
      </c>
      <c r="R557" s="8">
        <f t="shared" si="45"/>
        <v>0</v>
      </c>
    </row>
    <row r="558" spans="1:18">
      <c r="A558" s="6"/>
      <c r="B558" t="str">
        <f t="shared" si="41"/>
        <v/>
      </c>
      <c r="C558" t="str">
        <f t="shared" si="42"/>
        <v/>
      </c>
      <c r="E558" t="str">
        <f>IFERROR(VLOOKUP(D558,Cadastro!$B$4:$H$100,2,FALSE),"")</f>
        <v/>
      </c>
      <c r="F558" t="str">
        <f>IFERROR(VLOOKUP(D558,Cadastro!$B$4:$H$100,3,FALSE),"")</f>
        <v/>
      </c>
      <c r="J558" s="7"/>
      <c r="K558" s="7"/>
      <c r="L558" s="7"/>
      <c r="M558" s="7"/>
      <c r="N558" s="7"/>
      <c r="O558" s="7"/>
      <c r="P558" s="8">
        <f t="shared" si="43"/>
        <v>0</v>
      </c>
      <c r="Q558" s="8">
        <f t="shared" si="44"/>
        <v>0</v>
      </c>
      <c r="R558" s="8">
        <f t="shared" si="45"/>
        <v>0</v>
      </c>
    </row>
    <row r="559" spans="1:18">
      <c r="A559" s="6"/>
      <c r="B559" t="str">
        <f t="shared" si="41"/>
        <v/>
      </c>
      <c r="C559" t="str">
        <f t="shared" si="42"/>
        <v/>
      </c>
      <c r="E559" t="str">
        <f>IFERROR(VLOOKUP(D559,Cadastro!$B$4:$H$100,2,FALSE),"")</f>
        <v/>
      </c>
      <c r="F559" t="str">
        <f>IFERROR(VLOOKUP(D559,Cadastro!$B$4:$H$100,3,FALSE),"")</f>
        <v/>
      </c>
      <c r="J559" s="7"/>
      <c r="K559" s="7"/>
      <c r="L559" s="7"/>
      <c r="M559" s="7"/>
      <c r="N559" s="7"/>
      <c r="O559" s="7"/>
      <c r="P559" s="8">
        <f t="shared" si="43"/>
        <v>0</v>
      </c>
      <c r="Q559" s="8">
        <f t="shared" si="44"/>
        <v>0</v>
      </c>
      <c r="R559" s="8">
        <f t="shared" si="45"/>
        <v>0</v>
      </c>
    </row>
    <row r="560" spans="1:18">
      <c r="A560" s="6"/>
      <c r="B560" t="str">
        <f t="shared" si="41"/>
        <v/>
      </c>
      <c r="C560" t="str">
        <f t="shared" si="42"/>
        <v/>
      </c>
      <c r="E560" t="str">
        <f>IFERROR(VLOOKUP(D560,Cadastro!$B$4:$H$100,2,FALSE),"")</f>
        <v/>
      </c>
      <c r="F560" t="str">
        <f>IFERROR(VLOOKUP(D560,Cadastro!$B$4:$H$100,3,FALSE),"")</f>
        <v/>
      </c>
      <c r="J560" s="7"/>
      <c r="K560" s="7"/>
      <c r="L560" s="7"/>
      <c r="M560" s="7"/>
      <c r="N560" s="7"/>
      <c r="O560" s="7"/>
      <c r="P560" s="8">
        <f t="shared" si="43"/>
        <v>0</v>
      </c>
      <c r="Q560" s="8">
        <f t="shared" si="44"/>
        <v>0</v>
      </c>
      <c r="R560" s="8">
        <f t="shared" si="45"/>
        <v>0</v>
      </c>
    </row>
    <row r="561" spans="1:18">
      <c r="A561" s="6"/>
      <c r="B561" t="str">
        <f t="shared" si="41"/>
        <v/>
      </c>
      <c r="C561" t="str">
        <f t="shared" si="42"/>
        <v/>
      </c>
      <c r="E561" t="str">
        <f>IFERROR(VLOOKUP(D561,Cadastro!$B$4:$H$100,2,FALSE),"")</f>
        <v/>
      </c>
      <c r="F561" t="str">
        <f>IFERROR(VLOOKUP(D561,Cadastro!$B$4:$H$100,3,FALSE),"")</f>
        <v/>
      </c>
      <c r="J561" s="7"/>
      <c r="K561" s="7"/>
      <c r="L561" s="7"/>
      <c r="M561" s="7"/>
      <c r="N561" s="7"/>
      <c r="O561" s="7"/>
      <c r="P561" s="8">
        <f t="shared" si="43"/>
        <v>0</v>
      </c>
      <c r="Q561" s="8">
        <f t="shared" si="44"/>
        <v>0</v>
      </c>
      <c r="R561" s="8">
        <f t="shared" si="45"/>
        <v>0</v>
      </c>
    </row>
    <row r="562" spans="1:18">
      <c r="A562" s="6"/>
      <c r="B562" t="str">
        <f t="shared" si="41"/>
        <v/>
      </c>
      <c r="C562" t="str">
        <f t="shared" si="42"/>
        <v/>
      </c>
      <c r="E562" t="str">
        <f>IFERROR(VLOOKUP(D562,Cadastro!$B$4:$H$100,2,FALSE),"")</f>
        <v/>
      </c>
      <c r="F562" t="str">
        <f>IFERROR(VLOOKUP(D562,Cadastro!$B$4:$H$100,3,FALSE),"")</f>
        <v/>
      </c>
      <c r="J562" s="7"/>
      <c r="K562" s="7"/>
      <c r="L562" s="7"/>
      <c r="M562" s="7"/>
      <c r="N562" s="7"/>
      <c r="O562" s="7"/>
      <c r="P562" s="8">
        <f t="shared" si="43"/>
        <v>0</v>
      </c>
      <c r="Q562" s="8">
        <f t="shared" si="44"/>
        <v>0</v>
      </c>
      <c r="R562" s="8">
        <f t="shared" si="45"/>
        <v>0</v>
      </c>
    </row>
    <row r="563" spans="1:18">
      <c r="A563" s="6"/>
      <c r="B563" t="str">
        <f t="shared" si="41"/>
        <v/>
      </c>
      <c r="C563" t="str">
        <f t="shared" si="42"/>
        <v/>
      </c>
      <c r="E563" t="str">
        <f>IFERROR(VLOOKUP(D563,Cadastro!$B$4:$H$100,2,FALSE),"")</f>
        <v/>
      </c>
      <c r="F563" t="str">
        <f>IFERROR(VLOOKUP(D563,Cadastro!$B$4:$H$100,3,FALSE),"")</f>
        <v/>
      </c>
      <c r="J563" s="7"/>
      <c r="K563" s="7"/>
      <c r="L563" s="7"/>
      <c r="M563" s="7"/>
      <c r="N563" s="7"/>
      <c r="O563" s="7"/>
      <c r="P563" s="8">
        <f t="shared" si="43"/>
        <v>0</v>
      </c>
      <c r="Q563" s="8">
        <f t="shared" si="44"/>
        <v>0</v>
      </c>
      <c r="R563" s="8">
        <f t="shared" si="45"/>
        <v>0</v>
      </c>
    </row>
    <row r="564" spans="1:18">
      <c r="A564" s="6"/>
      <c r="B564" t="str">
        <f t="shared" si="41"/>
        <v/>
      </c>
      <c r="C564" t="str">
        <f t="shared" si="42"/>
        <v/>
      </c>
      <c r="E564" t="str">
        <f>IFERROR(VLOOKUP(D564,Cadastro!$B$4:$H$100,2,FALSE),"")</f>
        <v/>
      </c>
      <c r="F564" t="str">
        <f>IFERROR(VLOOKUP(D564,Cadastro!$B$4:$H$100,3,FALSE),"")</f>
        <v/>
      </c>
      <c r="J564" s="7"/>
      <c r="K564" s="7"/>
      <c r="L564" s="7"/>
      <c r="M564" s="7"/>
      <c r="N564" s="7"/>
      <c r="O564" s="7"/>
      <c r="P564" s="8">
        <f t="shared" si="43"/>
        <v>0</v>
      </c>
      <c r="Q564" s="8">
        <f t="shared" si="44"/>
        <v>0</v>
      </c>
      <c r="R564" s="8">
        <f t="shared" si="45"/>
        <v>0</v>
      </c>
    </row>
    <row r="565" spans="1:18">
      <c r="A565" s="6"/>
      <c r="B565" t="str">
        <f t="shared" si="41"/>
        <v/>
      </c>
      <c r="C565" t="str">
        <f t="shared" si="42"/>
        <v/>
      </c>
      <c r="E565" t="str">
        <f>IFERROR(VLOOKUP(D565,Cadastro!$B$4:$H$100,2,FALSE),"")</f>
        <v/>
      </c>
      <c r="F565" t="str">
        <f>IFERROR(VLOOKUP(D565,Cadastro!$B$4:$H$100,3,FALSE),"")</f>
        <v/>
      </c>
      <c r="J565" s="7"/>
      <c r="K565" s="7"/>
      <c r="L565" s="7"/>
      <c r="M565" s="7"/>
      <c r="N565" s="7"/>
      <c r="O565" s="7"/>
      <c r="P565" s="8">
        <f t="shared" si="43"/>
        <v>0</v>
      </c>
      <c r="Q565" s="8">
        <f t="shared" si="44"/>
        <v>0</v>
      </c>
      <c r="R565" s="8">
        <f t="shared" si="45"/>
        <v>0</v>
      </c>
    </row>
    <row r="566" spans="1:18">
      <c r="A566" s="6"/>
      <c r="B566" t="str">
        <f t="shared" si="41"/>
        <v/>
      </c>
      <c r="C566" t="str">
        <f t="shared" si="42"/>
        <v/>
      </c>
      <c r="E566" t="str">
        <f>IFERROR(VLOOKUP(D566,Cadastro!$B$4:$H$100,2,FALSE),"")</f>
        <v/>
      </c>
      <c r="F566" t="str">
        <f>IFERROR(VLOOKUP(D566,Cadastro!$B$4:$H$100,3,FALSE),"")</f>
        <v/>
      </c>
      <c r="J566" s="7"/>
      <c r="K566" s="7"/>
      <c r="L566" s="7"/>
      <c r="M566" s="7"/>
      <c r="N566" s="7"/>
      <c r="O566" s="7"/>
      <c r="P566" s="8">
        <f t="shared" si="43"/>
        <v>0</v>
      </c>
      <c r="Q566" s="8">
        <f t="shared" si="44"/>
        <v>0</v>
      </c>
      <c r="R566" s="8">
        <f t="shared" si="45"/>
        <v>0</v>
      </c>
    </row>
    <row r="567" spans="1:18">
      <c r="A567" s="6"/>
      <c r="B567" t="str">
        <f t="shared" si="41"/>
        <v/>
      </c>
      <c r="C567" t="str">
        <f t="shared" si="42"/>
        <v/>
      </c>
      <c r="E567" t="str">
        <f>IFERROR(VLOOKUP(D567,Cadastro!$B$4:$H$100,2,FALSE),"")</f>
        <v/>
      </c>
      <c r="F567" t="str">
        <f>IFERROR(VLOOKUP(D567,Cadastro!$B$4:$H$100,3,FALSE),"")</f>
        <v/>
      </c>
      <c r="J567" s="7"/>
      <c r="K567" s="7"/>
      <c r="L567" s="7"/>
      <c r="M567" s="7"/>
      <c r="N567" s="7"/>
      <c r="O567" s="7"/>
      <c r="P567" s="8">
        <f t="shared" si="43"/>
        <v>0</v>
      </c>
      <c r="Q567" s="8">
        <f t="shared" si="44"/>
        <v>0</v>
      </c>
      <c r="R567" s="8">
        <f t="shared" si="45"/>
        <v>0</v>
      </c>
    </row>
    <row r="568" spans="1:18">
      <c r="A568" s="6"/>
      <c r="B568" t="str">
        <f t="shared" si="41"/>
        <v/>
      </c>
      <c r="C568" t="str">
        <f t="shared" si="42"/>
        <v/>
      </c>
      <c r="E568" t="str">
        <f>IFERROR(VLOOKUP(D568,Cadastro!$B$4:$H$100,2,FALSE),"")</f>
        <v/>
      </c>
      <c r="F568" t="str">
        <f>IFERROR(VLOOKUP(D568,Cadastro!$B$4:$H$100,3,FALSE),"")</f>
        <v/>
      </c>
      <c r="J568" s="7"/>
      <c r="K568" s="7"/>
      <c r="L568" s="7"/>
      <c r="M568" s="7"/>
      <c r="N568" s="7"/>
      <c r="O568" s="7"/>
      <c r="P568" s="8">
        <f t="shared" si="43"/>
        <v>0</v>
      </c>
      <c r="Q568" s="8">
        <f t="shared" si="44"/>
        <v>0</v>
      </c>
      <c r="R568" s="8">
        <f t="shared" si="45"/>
        <v>0</v>
      </c>
    </row>
    <row r="569" spans="1:18">
      <c r="A569" s="6"/>
      <c r="B569" t="str">
        <f t="shared" si="41"/>
        <v/>
      </c>
      <c r="C569" t="str">
        <f t="shared" si="42"/>
        <v/>
      </c>
      <c r="E569" t="str">
        <f>IFERROR(VLOOKUP(D569,Cadastro!$B$4:$H$100,2,FALSE),"")</f>
        <v/>
      </c>
      <c r="F569" t="str">
        <f>IFERROR(VLOOKUP(D569,Cadastro!$B$4:$H$100,3,FALSE),"")</f>
        <v/>
      </c>
      <c r="J569" s="7"/>
      <c r="K569" s="7"/>
      <c r="L569" s="7"/>
      <c r="M569" s="7"/>
      <c r="N569" s="7"/>
      <c r="O569" s="7"/>
      <c r="P569" s="8">
        <f t="shared" si="43"/>
        <v>0</v>
      </c>
      <c r="Q569" s="8">
        <f t="shared" si="44"/>
        <v>0</v>
      </c>
      <c r="R569" s="8">
        <f t="shared" si="45"/>
        <v>0</v>
      </c>
    </row>
    <row r="570" spans="1:18">
      <c r="A570" s="6"/>
      <c r="B570" t="str">
        <f t="shared" si="41"/>
        <v/>
      </c>
      <c r="C570" t="str">
        <f t="shared" si="42"/>
        <v/>
      </c>
      <c r="E570" t="str">
        <f>IFERROR(VLOOKUP(D570,Cadastro!$B$4:$H$100,2,FALSE),"")</f>
        <v/>
      </c>
      <c r="F570" t="str">
        <f>IFERROR(VLOOKUP(D570,Cadastro!$B$4:$H$100,3,FALSE),"")</f>
        <v/>
      </c>
      <c r="J570" s="7"/>
      <c r="K570" s="7"/>
      <c r="L570" s="7"/>
      <c r="M570" s="7"/>
      <c r="N570" s="7"/>
      <c r="O570" s="7"/>
      <c r="P570" s="8">
        <f t="shared" si="43"/>
        <v>0</v>
      </c>
      <c r="Q570" s="8">
        <f t="shared" si="44"/>
        <v>0</v>
      </c>
      <c r="R570" s="8">
        <f t="shared" si="45"/>
        <v>0</v>
      </c>
    </row>
    <row r="571" spans="1:18">
      <c r="A571" s="6"/>
      <c r="B571" t="str">
        <f t="shared" si="41"/>
        <v/>
      </c>
      <c r="C571" t="str">
        <f t="shared" si="42"/>
        <v/>
      </c>
      <c r="E571" t="str">
        <f>IFERROR(VLOOKUP(D571,Cadastro!$B$4:$H$100,2,FALSE),"")</f>
        <v/>
      </c>
      <c r="F571" t="str">
        <f>IFERROR(VLOOKUP(D571,Cadastro!$B$4:$H$100,3,FALSE),"")</f>
        <v/>
      </c>
      <c r="J571" s="7"/>
      <c r="K571" s="7"/>
      <c r="L571" s="7"/>
      <c r="M571" s="7"/>
      <c r="N571" s="7"/>
      <c r="O571" s="7"/>
      <c r="P571" s="8">
        <f t="shared" si="43"/>
        <v>0</v>
      </c>
      <c r="Q571" s="8">
        <f t="shared" si="44"/>
        <v>0</v>
      </c>
      <c r="R571" s="8">
        <f t="shared" si="45"/>
        <v>0</v>
      </c>
    </row>
    <row r="572" spans="1:18">
      <c r="A572" s="6"/>
      <c r="B572" t="str">
        <f t="shared" si="41"/>
        <v/>
      </c>
      <c r="C572" t="str">
        <f t="shared" si="42"/>
        <v/>
      </c>
      <c r="E572" t="str">
        <f>IFERROR(VLOOKUP(D572,Cadastro!$B$4:$H$100,2,FALSE),"")</f>
        <v/>
      </c>
      <c r="F572" t="str">
        <f>IFERROR(VLOOKUP(D572,Cadastro!$B$4:$H$100,3,FALSE),"")</f>
        <v/>
      </c>
      <c r="J572" s="7"/>
      <c r="K572" s="7"/>
      <c r="L572" s="7"/>
      <c r="M572" s="7"/>
      <c r="N572" s="7"/>
      <c r="O572" s="7"/>
      <c r="P572" s="8">
        <f t="shared" si="43"/>
        <v>0</v>
      </c>
      <c r="Q572" s="8">
        <f t="shared" si="44"/>
        <v>0</v>
      </c>
      <c r="R572" s="8">
        <f t="shared" si="45"/>
        <v>0</v>
      </c>
    </row>
    <row r="573" spans="1:18">
      <c r="A573" s="6"/>
      <c r="B573" t="str">
        <f t="shared" si="41"/>
        <v/>
      </c>
      <c r="C573" t="str">
        <f t="shared" si="42"/>
        <v/>
      </c>
      <c r="E573" t="str">
        <f>IFERROR(VLOOKUP(D573,Cadastro!$B$4:$H$100,2,FALSE),"")</f>
        <v/>
      </c>
      <c r="F573" t="str">
        <f>IFERROR(VLOOKUP(D573,Cadastro!$B$4:$H$100,3,FALSE),"")</f>
        <v/>
      </c>
      <c r="J573" s="7"/>
      <c r="K573" s="7"/>
      <c r="L573" s="7"/>
      <c r="M573" s="7"/>
      <c r="N573" s="7"/>
      <c r="O573" s="7"/>
      <c r="P573" s="8">
        <f t="shared" si="43"/>
        <v>0</v>
      </c>
      <c r="Q573" s="8">
        <f t="shared" si="44"/>
        <v>0</v>
      </c>
      <c r="R573" s="8">
        <f t="shared" si="45"/>
        <v>0</v>
      </c>
    </row>
    <row r="574" spans="1:18">
      <c r="A574" s="6"/>
      <c r="B574" t="str">
        <f t="shared" si="41"/>
        <v/>
      </c>
      <c r="C574" t="str">
        <f t="shared" si="42"/>
        <v/>
      </c>
      <c r="E574" t="str">
        <f>IFERROR(VLOOKUP(D574,Cadastro!$B$4:$H$100,2,FALSE),"")</f>
        <v/>
      </c>
      <c r="F574" t="str">
        <f>IFERROR(VLOOKUP(D574,Cadastro!$B$4:$H$100,3,FALSE),"")</f>
        <v/>
      </c>
      <c r="J574" s="7"/>
      <c r="K574" s="7"/>
      <c r="L574" s="7"/>
      <c r="M574" s="7"/>
      <c r="N574" s="7"/>
      <c r="O574" s="7"/>
      <c r="P574" s="8">
        <f t="shared" si="43"/>
        <v>0</v>
      </c>
      <c r="Q574" s="8">
        <f t="shared" si="44"/>
        <v>0</v>
      </c>
      <c r="R574" s="8">
        <f t="shared" si="45"/>
        <v>0</v>
      </c>
    </row>
    <row r="575" spans="1:18">
      <c r="A575" s="6"/>
      <c r="B575" t="str">
        <f t="shared" si="41"/>
        <v/>
      </c>
      <c r="C575" t="str">
        <f t="shared" si="42"/>
        <v/>
      </c>
      <c r="E575" t="str">
        <f>IFERROR(VLOOKUP(D575,Cadastro!$B$4:$H$100,2,FALSE),"")</f>
        <v/>
      </c>
      <c r="F575" t="str">
        <f>IFERROR(VLOOKUP(D575,Cadastro!$B$4:$H$100,3,FALSE),"")</f>
        <v/>
      </c>
      <c r="J575" s="7"/>
      <c r="K575" s="7"/>
      <c r="L575" s="7"/>
      <c r="M575" s="7"/>
      <c r="N575" s="7"/>
      <c r="O575" s="7"/>
      <c r="P575" s="8">
        <f t="shared" si="43"/>
        <v>0</v>
      </c>
      <c r="Q575" s="8">
        <f t="shared" si="44"/>
        <v>0</v>
      </c>
      <c r="R575" s="8">
        <f t="shared" si="45"/>
        <v>0</v>
      </c>
    </row>
    <row r="576" spans="1:18">
      <c r="A576" s="6"/>
      <c r="B576" t="str">
        <f t="shared" si="41"/>
        <v/>
      </c>
      <c r="C576" t="str">
        <f t="shared" si="42"/>
        <v/>
      </c>
      <c r="E576" t="str">
        <f>IFERROR(VLOOKUP(D576,Cadastro!$B$4:$H$100,2,FALSE),"")</f>
        <v/>
      </c>
      <c r="F576" t="str">
        <f>IFERROR(VLOOKUP(D576,Cadastro!$B$4:$H$100,3,FALSE),"")</f>
        <v/>
      </c>
      <c r="J576" s="7"/>
      <c r="K576" s="7"/>
      <c r="L576" s="7"/>
      <c r="M576" s="7"/>
      <c r="N576" s="7"/>
      <c r="O576" s="7"/>
      <c r="P576" s="8">
        <f t="shared" si="43"/>
        <v>0</v>
      </c>
      <c r="Q576" s="8">
        <f t="shared" si="44"/>
        <v>0</v>
      </c>
      <c r="R576" s="8">
        <f t="shared" si="45"/>
        <v>0</v>
      </c>
    </row>
    <row r="577" spans="1:18">
      <c r="A577" s="6"/>
      <c r="B577" t="str">
        <f t="shared" si="41"/>
        <v/>
      </c>
      <c r="C577" t="str">
        <f t="shared" si="42"/>
        <v/>
      </c>
      <c r="E577" t="str">
        <f>IFERROR(VLOOKUP(D577,Cadastro!$B$4:$H$100,2,FALSE),"")</f>
        <v/>
      </c>
      <c r="F577" t="str">
        <f>IFERROR(VLOOKUP(D577,Cadastro!$B$4:$H$100,3,FALSE),"")</f>
        <v/>
      </c>
      <c r="J577" s="7"/>
      <c r="K577" s="7"/>
      <c r="L577" s="7"/>
      <c r="M577" s="7"/>
      <c r="N577" s="7"/>
      <c r="O577" s="7"/>
      <c r="P577" s="8">
        <f t="shared" si="43"/>
        <v>0</v>
      </c>
      <c r="Q577" s="8">
        <f t="shared" si="44"/>
        <v>0</v>
      </c>
      <c r="R577" s="8">
        <f t="shared" si="45"/>
        <v>0</v>
      </c>
    </row>
    <row r="578" spans="1:18">
      <c r="A578" s="6"/>
      <c r="B578" t="str">
        <f t="shared" si="41"/>
        <v/>
      </c>
      <c r="C578" t="str">
        <f t="shared" si="42"/>
        <v/>
      </c>
      <c r="E578" t="str">
        <f>IFERROR(VLOOKUP(D578,Cadastro!$B$4:$H$100,2,FALSE),"")</f>
        <v/>
      </c>
      <c r="F578" t="str">
        <f>IFERROR(VLOOKUP(D578,Cadastro!$B$4:$H$100,3,FALSE),"")</f>
        <v/>
      </c>
      <c r="J578" s="7"/>
      <c r="K578" s="7"/>
      <c r="L578" s="7"/>
      <c r="M578" s="7"/>
      <c r="N578" s="7"/>
      <c r="O578" s="7"/>
      <c r="P578" s="8">
        <f t="shared" si="43"/>
        <v>0</v>
      </c>
      <c r="Q578" s="8">
        <f t="shared" si="44"/>
        <v>0</v>
      </c>
      <c r="R578" s="8">
        <f t="shared" si="45"/>
        <v>0</v>
      </c>
    </row>
    <row r="579" spans="1:18">
      <c r="A579" s="6"/>
      <c r="B579" t="str">
        <f t="shared" si="41"/>
        <v/>
      </c>
      <c r="C579" t="str">
        <f t="shared" si="42"/>
        <v/>
      </c>
      <c r="E579" t="str">
        <f>IFERROR(VLOOKUP(D579,Cadastro!$B$4:$H$100,2,FALSE),"")</f>
        <v/>
      </c>
      <c r="F579" t="str">
        <f>IFERROR(VLOOKUP(D579,Cadastro!$B$4:$H$100,3,FALSE),"")</f>
        <v/>
      </c>
      <c r="J579" s="7"/>
      <c r="K579" s="7"/>
      <c r="L579" s="7"/>
      <c r="M579" s="7"/>
      <c r="N579" s="7"/>
      <c r="O579" s="7"/>
      <c r="P579" s="8">
        <f t="shared" si="43"/>
        <v>0</v>
      </c>
      <c r="Q579" s="8">
        <f t="shared" si="44"/>
        <v>0</v>
      </c>
      <c r="R579" s="8">
        <f t="shared" si="45"/>
        <v>0</v>
      </c>
    </row>
    <row r="580" spans="1:18">
      <c r="A580" s="6"/>
      <c r="B580" t="str">
        <f t="shared" ref="B580:B643" si="46">IF(A580="","",YEAR(A580))</f>
        <v/>
      </c>
      <c r="C580" t="str">
        <f t="shared" ref="C580:C643" si="47">IF(A580="","",TEXT(A580,"mmmm"))</f>
        <v/>
      </c>
      <c r="E580" t="str">
        <f>IFERROR(VLOOKUP(D580,Cadastro!$B$4:$H$100,2,FALSE),"")</f>
        <v/>
      </c>
      <c r="F580" t="str">
        <f>IFERROR(VLOOKUP(D580,Cadastro!$B$4:$H$100,3,FALSE),"")</f>
        <v/>
      </c>
      <c r="J580" s="7"/>
      <c r="K580" s="7"/>
      <c r="L580" s="7"/>
      <c r="M580" s="7"/>
      <c r="N580" s="7"/>
      <c r="O580" s="7"/>
      <c r="P580" s="8">
        <f t="shared" ref="P580:P643" si="48">IF(OR(J580="",K580=""),0,(K580-J580)*24)+IF(OR(L580="",M580=""),0,(M580-L580)*24)+IF(OR(N580="",O580=""),0,(O580-N580)*24)</f>
        <v>0</v>
      </c>
      <c r="Q580" s="8">
        <f t="shared" ref="Q580:Q643" si="49">IF(OR(I580="Prática",I580="Teórico-prática"),P580,0)</f>
        <v>0</v>
      </c>
      <c r="R580" s="8">
        <f t="shared" ref="R580:R643" si="50">IF(OR(I580="Teórica",I580="Teórico-prática"),P580,0)</f>
        <v>0</v>
      </c>
    </row>
    <row r="581" spans="1:18">
      <c r="A581" s="6"/>
      <c r="B581" t="str">
        <f t="shared" si="46"/>
        <v/>
      </c>
      <c r="C581" t="str">
        <f t="shared" si="47"/>
        <v/>
      </c>
      <c r="E581" t="str">
        <f>IFERROR(VLOOKUP(D581,Cadastro!$B$4:$H$100,2,FALSE),"")</f>
        <v/>
      </c>
      <c r="F581" t="str">
        <f>IFERROR(VLOOKUP(D581,Cadastro!$B$4:$H$100,3,FALSE),"")</f>
        <v/>
      </c>
      <c r="J581" s="7"/>
      <c r="K581" s="7"/>
      <c r="L581" s="7"/>
      <c r="M581" s="7"/>
      <c r="N581" s="7"/>
      <c r="O581" s="7"/>
      <c r="P581" s="8">
        <f t="shared" si="48"/>
        <v>0</v>
      </c>
      <c r="Q581" s="8">
        <f t="shared" si="49"/>
        <v>0</v>
      </c>
      <c r="R581" s="8">
        <f t="shared" si="50"/>
        <v>0</v>
      </c>
    </row>
    <row r="582" spans="1:18">
      <c r="A582" s="6"/>
      <c r="B582" t="str">
        <f t="shared" si="46"/>
        <v/>
      </c>
      <c r="C582" t="str">
        <f t="shared" si="47"/>
        <v/>
      </c>
      <c r="E582" t="str">
        <f>IFERROR(VLOOKUP(D582,Cadastro!$B$4:$H$100,2,FALSE),"")</f>
        <v/>
      </c>
      <c r="F582" t="str">
        <f>IFERROR(VLOOKUP(D582,Cadastro!$B$4:$H$100,3,FALSE),"")</f>
        <v/>
      </c>
      <c r="J582" s="7"/>
      <c r="K582" s="7"/>
      <c r="L582" s="7"/>
      <c r="M582" s="7"/>
      <c r="N582" s="7"/>
      <c r="O582" s="7"/>
      <c r="P582" s="8">
        <f t="shared" si="48"/>
        <v>0</v>
      </c>
      <c r="Q582" s="8">
        <f t="shared" si="49"/>
        <v>0</v>
      </c>
      <c r="R582" s="8">
        <f t="shared" si="50"/>
        <v>0</v>
      </c>
    </row>
    <row r="583" spans="1:18">
      <c r="A583" s="6"/>
      <c r="B583" t="str">
        <f t="shared" si="46"/>
        <v/>
      </c>
      <c r="C583" t="str">
        <f t="shared" si="47"/>
        <v/>
      </c>
      <c r="E583" t="str">
        <f>IFERROR(VLOOKUP(D583,Cadastro!$B$4:$H$100,2,FALSE),"")</f>
        <v/>
      </c>
      <c r="F583" t="str">
        <f>IFERROR(VLOOKUP(D583,Cadastro!$B$4:$H$100,3,FALSE),"")</f>
        <v/>
      </c>
      <c r="J583" s="7"/>
      <c r="K583" s="7"/>
      <c r="L583" s="7"/>
      <c r="M583" s="7"/>
      <c r="N583" s="7"/>
      <c r="O583" s="7"/>
      <c r="P583" s="8">
        <f t="shared" si="48"/>
        <v>0</v>
      </c>
      <c r="Q583" s="8">
        <f t="shared" si="49"/>
        <v>0</v>
      </c>
      <c r="R583" s="8">
        <f t="shared" si="50"/>
        <v>0</v>
      </c>
    </row>
    <row r="584" spans="1:18">
      <c r="A584" s="6"/>
      <c r="B584" t="str">
        <f t="shared" si="46"/>
        <v/>
      </c>
      <c r="C584" t="str">
        <f t="shared" si="47"/>
        <v/>
      </c>
      <c r="E584" t="str">
        <f>IFERROR(VLOOKUP(D584,Cadastro!$B$4:$H$100,2,FALSE),"")</f>
        <v/>
      </c>
      <c r="F584" t="str">
        <f>IFERROR(VLOOKUP(D584,Cadastro!$B$4:$H$100,3,FALSE),"")</f>
        <v/>
      </c>
      <c r="J584" s="7"/>
      <c r="K584" s="7"/>
      <c r="L584" s="7"/>
      <c r="M584" s="7"/>
      <c r="N584" s="7"/>
      <c r="O584" s="7"/>
      <c r="P584" s="8">
        <f t="shared" si="48"/>
        <v>0</v>
      </c>
      <c r="Q584" s="8">
        <f t="shared" si="49"/>
        <v>0</v>
      </c>
      <c r="R584" s="8">
        <f t="shared" si="50"/>
        <v>0</v>
      </c>
    </row>
    <row r="585" spans="1:18">
      <c r="A585" s="6"/>
      <c r="B585" t="str">
        <f t="shared" si="46"/>
        <v/>
      </c>
      <c r="C585" t="str">
        <f t="shared" si="47"/>
        <v/>
      </c>
      <c r="E585" t="str">
        <f>IFERROR(VLOOKUP(D585,Cadastro!$B$4:$H$100,2,FALSE),"")</f>
        <v/>
      </c>
      <c r="F585" t="str">
        <f>IFERROR(VLOOKUP(D585,Cadastro!$B$4:$H$100,3,FALSE),"")</f>
        <v/>
      </c>
      <c r="J585" s="7"/>
      <c r="K585" s="7"/>
      <c r="L585" s="7"/>
      <c r="M585" s="7"/>
      <c r="N585" s="7"/>
      <c r="O585" s="7"/>
      <c r="P585" s="8">
        <f t="shared" si="48"/>
        <v>0</v>
      </c>
      <c r="Q585" s="8">
        <f t="shared" si="49"/>
        <v>0</v>
      </c>
      <c r="R585" s="8">
        <f t="shared" si="50"/>
        <v>0</v>
      </c>
    </row>
    <row r="586" spans="1:18">
      <c r="A586" s="6"/>
      <c r="B586" t="str">
        <f t="shared" si="46"/>
        <v/>
      </c>
      <c r="C586" t="str">
        <f t="shared" si="47"/>
        <v/>
      </c>
      <c r="E586" t="str">
        <f>IFERROR(VLOOKUP(D586,Cadastro!$B$4:$H$100,2,FALSE),"")</f>
        <v/>
      </c>
      <c r="F586" t="str">
        <f>IFERROR(VLOOKUP(D586,Cadastro!$B$4:$H$100,3,FALSE),"")</f>
        <v/>
      </c>
      <c r="J586" s="7"/>
      <c r="K586" s="7"/>
      <c r="L586" s="7"/>
      <c r="M586" s="7"/>
      <c r="N586" s="7"/>
      <c r="O586" s="7"/>
      <c r="P586" s="8">
        <f t="shared" si="48"/>
        <v>0</v>
      </c>
      <c r="Q586" s="8">
        <f t="shared" si="49"/>
        <v>0</v>
      </c>
      <c r="R586" s="8">
        <f t="shared" si="50"/>
        <v>0</v>
      </c>
    </row>
    <row r="587" spans="1:18">
      <c r="A587" s="6"/>
      <c r="B587" t="str">
        <f t="shared" si="46"/>
        <v/>
      </c>
      <c r="C587" t="str">
        <f t="shared" si="47"/>
        <v/>
      </c>
      <c r="E587" t="str">
        <f>IFERROR(VLOOKUP(D587,Cadastro!$B$4:$H$100,2,FALSE),"")</f>
        <v/>
      </c>
      <c r="F587" t="str">
        <f>IFERROR(VLOOKUP(D587,Cadastro!$B$4:$H$100,3,FALSE),"")</f>
        <v/>
      </c>
      <c r="J587" s="7"/>
      <c r="K587" s="7"/>
      <c r="L587" s="7"/>
      <c r="M587" s="7"/>
      <c r="N587" s="7"/>
      <c r="O587" s="7"/>
      <c r="P587" s="8">
        <f t="shared" si="48"/>
        <v>0</v>
      </c>
      <c r="Q587" s="8">
        <f t="shared" si="49"/>
        <v>0</v>
      </c>
      <c r="R587" s="8">
        <f t="shared" si="50"/>
        <v>0</v>
      </c>
    </row>
    <row r="588" spans="1:18">
      <c r="A588" s="6"/>
      <c r="B588" t="str">
        <f t="shared" si="46"/>
        <v/>
      </c>
      <c r="C588" t="str">
        <f t="shared" si="47"/>
        <v/>
      </c>
      <c r="E588" t="str">
        <f>IFERROR(VLOOKUP(D588,Cadastro!$B$4:$H$100,2,FALSE),"")</f>
        <v/>
      </c>
      <c r="F588" t="str">
        <f>IFERROR(VLOOKUP(D588,Cadastro!$B$4:$H$100,3,FALSE),"")</f>
        <v/>
      </c>
      <c r="J588" s="7"/>
      <c r="K588" s="7"/>
      <c r="L588" s="7"/>
      <c r="M588" s="7"/>
      <c r="N588" s="7"/>
      <c r="O588" s="7"/>
      <c r="P588" s="8">
        <f t="shared" si="48"/>
        <v>0</v>
      </c>
      <c r="Q588" s="8">
        <f t="shared" si="49"/>
        <v>0</v>
      </c>
      <c r="R588" s="8">
        <f t="shared" si="50"/>
        <v>0</v>
      </c>
    </row>
    <row r="589" spans="1:18">
      <c r="A589" s="6"/>
      <c r="B589" t="str">
        <f t="shared" si="46"/>
        <v/>
      </c>
      <c r="C589" t="str">
        <f t="shared" si="47"/>
        <v/>
      </c>
      <c r="E589" t="str">
        <f>IFERROR(VLOOKUP(D589,Cadastro!$B$4:$H$100,2,FALSE),"")</f>
        <v/>
      </c>
      <c r="F589" t="str">
        <f>IFERROR(VLOOKUP(D589,Cadastro!$B$4:$H$100,3,FALSE),"")</f>
        <v/>
      </c>
      <c r="J589" s="7"/>
      <c r="K589" s="7"/>
      <c r="L589" s="7"/>
      <c r="M589" s="7"/>
      <c r="N589" s="7"/>
      <c r="O589" s="7"/>
      <c r="P589" s="8">
        <f t="shared" si="48"/>
        <v>0</v>
      </c>
      <c r="Q589" s="8">
        <f t="shared" si="49"/>
        <v>0</v>
      </c>
      <c r="R589" s="8">
        <f t="shared" si="50"/>
        <v>0</v>
      </c>
    </row>
    <row r="590" spans="1:18">
      <c r="A590" s="6"/>
      <c r="B590" t="str">
        <f t="shared" si="46"/>
        <v/>
      </c>
      <c r="C590" t="str">
        <f t="shared" si="47"/>
        <v/>
      </c>
      <c r="E590" t="str">
        <f>IFERROR(VLOOKUP(D590,Cadastro!$B$4:$H$100,2,FALSE),"")</f>
        <v/>
      </c>
      <c r="F590" t="str">
        <f>IFERROR(VLOOKUP(D590,Cadastro!$B$4:$H$100,3,FALSE),"")</f>
        <v/>
      </c>
      <c r="J590" s="7"/>
      <c r="K590" s="7"/>
      <c r="L590" s="7"/>
      <c r="M590" s="7"/>
      <c r="N590" s="7"/>
      <c r="O590" s="7"/>
      <c r="P590" s="8">
        <f t="shared" si="48"/>
        <v>0</v>
      </c>
      <c r="Q590" s="8">
        <f t="shared" si="49"/>
        <v>0</v>
      </c>
      <c r="R590" s="8">
        <f t="shared" si="50"/>
        <v>0</v>
      </c>
    </row>
    <row r="591" spans="1:18">
      <c r="A591" s="6"/>
      <c r="B591" t="str">
        <f t="shared" si="46"/>
        <v/>
      </c>
      <c r="C591" t="str">
        <f t="shared" si="47"/>
        <v/>
      </c>
      <c r="E591" t="str">
        <f>IFERROR(VLOOKUP(D591,Cadastro!$B$4:$H$100,2,FALSE),"")</f>
        <v/>
      </c>
      <c r="F591" t="str">
        <f>IFERROR(VLOOKUP(D591,Cadastro!$B$4:$H$100,3,FALSE),"")</f>
        <v/>
      </c>
      <c r="J591" s="7"/>
      <c r="K591" s="7"/>
      <c r="L591" s="7"/>
      <c r="M591" s="7"/>
      <c r="N591" s="7"/>
      <c r="O591" s="7"/>
      <c r="P591" s="8">
        <f t="shared" si="48"/>
        <v>0</v>
      </c>
      <c r="Q591" s="8">
        <f t="shared" si="49"/>
        <v>0</v>
      </c>
      <c r="R591" s="8">
        <f t="shared" si="50"/>
        <v>0</v>
      </c>
    </row>
    <row r="592" spans="1:18">
      <c r="A592" s="6"/>
      <c r="B592" t="str">
        <f t="shared" si="46"/>
        <v/>
      </c>
      <c r="C592" t="str">
        <f t="shared" si="47"/>
        <v/>
      </c>
      <c r="E592" t="str">
        <f>IFERROR(VLOOKUP(D592,Cadastro!$B$4:$H$100,2,FALSE),"")</f>
        <v/>
      </c>
      <c r="F592" t="str">
        <f>IFERROR(VLOOKUP(D592,Cadastro!$B$4:$H$100,3,FALSE),"")</f>
        <v/>
      </c>
      <c r="J592" s="7"/>
      <c r="K592" s="7"/>
      <c r="L592" s="7"/>
      <c r="M592" s="7"/>
      <c r="N592" s="7"/>
      <c r="O592" s="7"/>
      <c r="P592" s="8">
        <f t="shared" si="48"/>
        <v>0</v>
      </c>
      <c r="Q592" s="8">
        <f t="shared" si="49"/>
        <v>0</v>
      </c>
      <c r="R592" s="8">
        <f t="shared" si="50"/>
        <v>0</v>
      </c>
    </row>
    <row r="593" spans="1:18">
      <c r="A593" s="6"/>
      <c r="B593" t="str">
        <f t="shared" si="46"/>
        <v/>
      </c>
      <c r="C593" t="str">
        <f t="shared" si="47"/>
        <v/>
      </c>
      <c r="E593" t="str">
        <f>IFERROR(VLOOKUP(D593,Cadastro!$B$4:$H$100,2,FALSE),"")</f>
        <v/>
      </c>
      <c r="F593" t="str">
        <f>IFERROR(VLOOKUP(D593,Cadastro!$B$4:$H$100,3,FALSE),"")</f>
        <v/>
      </c>
      <c r="J593" s="7"/>
      <c r="K593" s="7"/>
      <c r="L593" s="7"/>
      <c r="M593" s="7"/>
      <c r="N593" s="7"/>
      <c r="O593" s="7"/>
      <c r="P593" s="8">
        <f t="shared" si="48"/>
        <v>0</v>
      </c>
      <c r="Q593" s="8">
        <f t="shared" si="49"/>
        <v>0</v>
      </c>
      <c r="R593" s="8">
        <f t="shared" si="50"/>
        <v>0</v>
      </c>
    </row>
    <row r="594" spans="1:18">
      <c r="A594" s="6"/>
      <c r="B594" t="str">
        <f t="shared" si="46"/>
        <v/>
      </c>
      <c r="C594" t="str">
        <f t="shared" si="47"/>
        <v/>
      </c>
      <c r="E594" t="str">
        <f>IFERROR(VLOOKUP(D594,Cadastro!$B$4:$H$100,2,FALSE),"")</f>
        <v/>
      </c>
      <c r="F594" t="str">
        <f>IFERROR(VLOOKUP(D594,Cadastro!$B$4:$H$100,3,FALSE),"")</f>
        <v/>
      </c>
      <c r="J594" s="7"/>
      <c r="K594" s="7"/>
      <c r="L594" s="7"/>
      <c r="M594" s="7"/>
      <c r="N594" s="7"/>
      <c r="O594" s="7"/>
      <c r="P594" s="8">
        <f t="shared" si="48"/>
        <v>0</v>
      </c>
      <c r="Q594" s="8">
        <f t="shared" si="49"/>
        <v>0</v>
      </c>
      <c r="R594" s="8">
        <f t="shared" si="50"/>
        <v>0</v>
      </c>
    </row>
    <row r="595" spans="1:18">
      <c r="A595" s="6"/>
      <c r="B595" t="str">
        <f t="shared" si="46"/>
        <v/>
      </c>
      <c r="C595" t="str">
        <f t="shared" si="47"/>
        <v/>
      </c>
      <c r="E595" t="str">
        <f>IFERROR(VLOOKUP(D595,Cadastro!$B$4:$H$100,2,FALSE),"")</f>
        <v/>
      </c>
      <c r="F595" t="str">
        <f>IFERROR(VLOOKUP(D595,Cadastro!$B$4:$H$100,3,FALSE),"")</f>
        <v/>
      </c>
      <c r="J595" s="7"/>
      <c r="K595" s="7"/>
      <c r="L595" s="7"/>
      <c r="M595" s="7"/>
      <c r="N595" s="7"/>
      <c r="O595" s="7"/>
      <c r="P595" s="8">
        <f t="shared" si="48"/>
        <v>0</v>
      </c>
      <c r="Q595" s="8">
        <f t="shared" si="49"/>
        <v>0</v>
      </c>
      <c r="R595" s="8">
        <f t="shared" si="50"/>
        <v>0</v>
      </c>
    </row>
    <row r="596" spans="1:18">
      <c r="A596" s="6"/>
      <c r="B596" t="str">
        <f t="shared" si="46"/>
        <v/>
      </c>
      <c r="C596" t="str">
        <f t="shared" si="47"/>
        <v/>
      </c>
      <c r="E596" t="str">
        <f>IFERROR(VLOOKUP(D596,Cadastro!$B$4:$H$100,2,FALSE),"")</f>
        <v/>
      </c>
      <c r="F596" t="str">
        <f>IFERROR(VLOOKUP(D596,Cadastro!$B$4:$H$100,3,FALSE),"")</f>
        <v/>
      </c>
      <c r="J596" s="7"/>
      <c r="K596" s="7"/>
      <c r="L596" s="7"/>
      <c r="M596" s="7"/>
      <c r="N596" s="7"/>
      <c r="O596" s="7"/>
      <c r="P596" s="8">
        <f t="shared" si="48"/>
        <v>0</v>
      </c>
      <c r="Q596" s="8">
        <f t="shared" si="49"/>
        <v>0</v>
      </c>
      <c r="R596" s="8">
        <f t="shared" si="50"/>
        <v>0</v>
      </c>
    </row>
    <row r="597" spans="1:18">
      <c r="A597" s="6"/>
      <c r="B597" t="str">
        <f t="shared" si="46"/>
        <v/>
      </c>
      <c r="C597" t="str">
        <f t="shared" si="47"/>
        <v/>
      </c>
      <c r="E597" t="str">
        <f>IFERROR(VLOOKUP(D597,Cadastro!$B$4:$H$100,2,FALSE),"")</f>
        <v/>
      </c>
      <c r="F597" t="str">
        <f>IFERROR(VLOOKUP(D597,Cadastro!$B$4:$H$100,3,FALSE),"")</f>
        <v/>
      </c>
      <c r="J597" s="7"/>
      <c r="K597" s="7"/>
      <c r="L597" s="7"/>
      <c r="M597" s="7"/>
      <c r="N597" s="7"/>
      <c r="O597" s="7"/>
      <c r="P597" s="8">
        <f t="shared" si="48"/>
        <v>0</v>
      </c>
      <c r="Q597" s="8">
        <f t="shared" si="49"/>
        <v>0</v>
      </c>
      <c r="R597" s="8">
        <f t="shared" si="50"/>
        <v>0</v>
      </c>
    </row>
    <row r="598" spans="1:18">
      <c r="A598" s="6"/>
      <c r="B598" t="str">
        <f t="shared" si="46"/>
        <v/>
      </c>
      <c r="C598" t="str">
        <f t="shared" si="47"/>
        <v/>
      </c>
      <c r="E598" t="str">
        <f>IFERROR(VLOOKUP(D598,Cadastro!$B$4:$H$100,2,FALSE),"")</f>
        <v/>
      </c>
      <c r="F598" t="str">
        <f>IFERROR(VLOOKUP(D598,Cadastro!$B$4:$H$100,3,FALSE),"")</f>
        <v/>
      </c>
      <c r="J598" s="7"/>
      <c r="K598" s="7"/>
      <c r="L598" s="7"/>
      <c r="M598" s="7"/>
      <c r="N598" s="7"/>
      <c r="O598" s="7"/>
      <c r="P598" s="8">
        <f t="shared" si="48"/>
        <v>0</v>
      </c>
      <c r="Q598" s="8">
        <f t="shared" si="49"/>
        <v>0</v>
      </c>
      <c r="R598" s="8">
        <f t="shared" si="50"/>
        <v>0</v>
      </c>
    </row>
    <row r="599" spans="1:18">
      <c r="A599" s="6"/>
      <c r="B599" t="str">
        <f t="shared" si="46"/>
        <v/>
      </c>
      <c r="C599" t="str">
        <f t="shared" si="47"/>
        <v/>
      </c>
      <c r="E599" t="str">
        <f>IFERROR(VLOOKUP(D599,Cadastro!$B$4:$H$100,2,FALSE),"")</f>
        <v/>
      </c>
      <c r="F599" t="str">
        <f>IFERROR(VLOOKUP(D599,Cadastro!$B$4:$H$100,3,FALSE),"")</f>
        <v/>
      </c>
      <c r="J599" s="7"/>
      <c r="K599" s="7"/>
      <c r="L599" s="7"/>
      <c r="M599" s="7"/>
      <c r="N599" s="7"/>
      <c r="O599" s="7"/>
      <c r="P599" s="8">
        <f t="shared" si="48"/>
        <v>0</v>
      </c>
      <c r="Q599" s="8">
        <f t="shared" si="49"/>
        <v>0</v>
      </c>
      <c r="R599" s="8">
        <f t="shared" si="50"/>
        <v>0</v>
      </c>
    </row>
    <row r="600" spans="1:18">
      <c r="A600" s="6"/>
      <c r="B600" t="str">
        <f t="shared" si="46"/>
        <v/>
      </c>
      <c r="C600" t="str">
        <f t="shared" si="47"/>
        <v/>
      </c>
      <c r="E600" t="str">
        <f>IFERROR(VLOOKUP(D600,Cadastro!$B$4:$H$100,2,FALSE),"")</f>
        <v/>
      </c>
      <c r="F600" t="str">
        <f>IFERROR(VLOOKUP(D600,Cadastro!$B$4:$H$100,3,FALSE),"")</f>
        <v/>
      </c>
      <c r="J600" s="7"/>
      <c r="K600" s="7"/>
      <c r="L600" s="7"/>
      <c r="M600" s="7"/>
      <c r="N600" s="7"/>
      <c r="O600" s="7"/>
      <c r="P600" s="8">
        <f t="shared" si="48"/>
        <v>0</v>
      </c>
      <c r="Q600" s="8">
        <f t="shared" si="49"/>
        <v>0</v>
      </c>
      <c r="R600" s="8">
        <f t="shared" si="50"/>
        <v>0</v>
      </c>
    </row>
    <row r="601" spans="1:18">
      <c r="A601" s="6"/>
      <c r="B601" t="str">
        <f t="shared" si="46"/>
        <v/>
      </c>
      <c r="C601" t="str">
        <f t="shared" si="47"/>
        <v/>
      </c>
      <c r="E601" t="str">
        <f>IFERROR(VLOOKUP(D601,Cadastro!$B$4:$H$100,2,FALSE),"")</f>
        <v/>
      </c>
      <c r="F601" t="str">
        <f>IFERROR(VLOOKUP(D601,Cadastro!$B$4:$H$100,3,FALSE),"")</f>
        <v/>
      </c>
      <c r="J601" s="7"/>
      <c r="K601" s="7"/>
      <c r="L601" s="7"/>
      <c r="M601" s="7"/>
      <c r="N601" s="7"/>
      <c r="O601" s="7"/>
      <c r="P601" s="8">
        <f t="shared" si="48"/>
        <v>0</v>
      </c>
      <c r="Q601" s="8">
        <f t="shared" si="49"/>
        <v>0</v>
      </c>
      <c r="R601" s="8">
        <f t="shared" si="50"/>
        <v>0</v>
      </c>
    </row>
    <row r="602" spans="1:18">
      <c r="A602" s="6"/>
      <c r="B602" t="str">
        <f t="shared" si="46"/>
        <v/>
      </c>
      <c r="C602" t="str">
        <f t="shared" si="47"/>
        <v/>
      </c>
      <c r="E602" t="str">
        <f>IFERROR(VLOOKUP(D602,Cadastro!$B$4:$H$100,2,FALSE),"")</f>
        <v/>
      </c>
      <c r="F602" t="str">
        <f>IFERROR(VLOOKUP(D602,Cadastro!$B$4:$H$100,3,FALSE),"")</f>
        <v/>
      </c>
      <c r="J602" s="7"/>
      <c r="K602" s="7"/>
      <c r="L602" s="7"/>
      <c r="M602" s="7"/>
      <c r="N602" s="7"/>
      <c r="O602" s="7"/>
      <c r="P602" s="8">
        <f t="shared" si="48"/>
        <v>0</v>
      </c>
      <c r="Q602" s="8">
        <f t="shared" si="49"/>
        <v>0</v>
      </c>
      <c r="R602" s="8">
        <f t="shared" si="50"/>
        <v>0</v>
      </c>
    </row>
    <row r="603" spans="1:18">
      <c r="A603" s="6"/>
      <c r="B603" t="str">
        <f t="shared" si="46"/>
        <v/>
      </c>
      <c r="C603" t="str">
        <f t="shared" si="47"/>
        <v/>
      </c>
      <c r="E603" t="str">
        <f>IFERROR(VLOOKUP(D603,Cadastro!$B$4:$H$100,2,FALSE),"")</f>
        <v/>
      </c>
      <c r="F603" t="str">
        <f>IFERROR(VLOOKUP(D603,Cadastro!$B$4:$H$100,3,FALSE),"")</f>
        <v/>
      </c>
      <c r="J603" s="7"/>
      <c r="K603" s="7"/>
      <c r="L603" s="7"/>
      <c r="M603" s="7"/>
      <c r="N603" s="7"/>
      <c r="O603" s="7"/>
      <c r="P603" s="8">
        <f t="shared" si="48"/>
        <v>0</v>
      </c>
      <c r="Q603" s="8">
        <f t="shared" si="49"/>
        <v>0</v>
      </c>
      <c r="R603" s="8">
        <f t="shared" si="50"/>
        <v>0</v>
      </c>
    </row>
    <row r="604" spans="1:18">
      <c r="A604" s="6"/>
      <c r="B604" t="str">
        <f t="shared" si="46"/>
        <v/>
      </c>
      <c r="C604" t="str">
        <f t="shared" si="47"/>
        <v/>
      </c>
      <c r="E604" t="str">
        <f>IFERROR(VLOOKUP(D604,Cadastro!$B$4:$H$100,2,FALSE),"")</f>
        <v/>
      </c>
      <c r="F604" t="str">
        <f>IFERROR(VLOOKUP(D604,Cadastro!$B$4:$H$100,3,FALSE),"")</f>
        <v/>
      </c>
      <c r="J604" s="7"/>
      <c r="K604" s="7"/>
      <c r="L604" s="7"/>
      <c r="M604" s="7"/>
      <c r="N604" s="7"/>
      <c r="O604" s="7"/>
      <c r="P604" s="8">
        <f t="shared" si="48"/>
        <v>0</v>
      </c>
      <c r="Q604" s="8">
        <f t="shared" si="49"/>
        <v>0</v>
      </c>
      <c r="R604" s="8">
        <f t="shared" si="50"/>
        <v>0</v>
      </c>
    </row>
    <row r="605" spans="1:18">
      <c r="A605" s="6"/>
      <c r="B605" t="str">
        <f t="shared" si="46"/>
        <v/>
      </c>
      <c r="C605" t="str">
        <f t="shared" si="47"/>
        <v/>
      </c>
      <c r="E605" t="str">
        <f>IFERROR(VLOOKUP(D605,Cadastro!$B$4:$H$100,2,FALSE),"")</f>
        <v/>
      </c>
      <c r="F605" t="str">
        <f>IFERROR(VLOOKUP(D605,Cadastro!$B$4:$H$100,3,FALSE),"")</f>
        <v/>
      </c>
      <c r="J605" s="7"/>
      <c r="K605" s="7"/>
      <c r="L605" s="7"/>
      <c r="M605" s="7"/>
      <c r="N605" s="7"/>
      <c r="O605" s="7"/>
      <c r="P605" s="8">
        <f t="shared" si="48"/>
        <v>0</v>
      </c>
      <c r="Q605" s="8">
        <f t="shared" si="49"/>
        <v>0</v>
      </c>
      <c r="R605" s="8">
        <f t="shared" si="50"/>
        <v>0</v>
      </c>
    </row>
    <row r="606" spans="1:18">
      <c r="A606" s="6"/>
      <c r="B606" t="str">
        <f t="shared" si="46"/>
        <v/>
      </c>
      <c r="C606" t="str">
        <f t="shared" si="47"/>
        <v/>
      </c>
      <c r="E606" t="str">
        <f>IFERROR(VLOOKUP(D606,Cadastro!$B$4:$H$100,2,FALSE),"")</f>
        <v/>
      </c>
      <c r="F606" t="str">
        <f>IFERROR(VLOOKUP(D606,Cadastro!$B$4:$H$100,3,FALSE),"")</f>
        <v/>
      </c>
      <c r="J606" s="7"/>
      <c r="K606" s="7"/>
      <c r="L606" s="7"/>
      <c r="M606" s="7"/>
      <c r="N606" s="7"/>
      <c r="O606" s="7"/>
      <c r="P606" s="8">
        <f t="shared" si="48"/>
        <v>0</v>
      </c>
      <c r="Q606" s="8">
        <f t="shared" si="49"/>
        <v>0</v>
      </c>
      <c r="R606" s="8">
        <f t="shared" si="50"/>
        <v>0</v>
      </c>
    </row>
    <row r="607" spans="1:18">
      <c r="A607" s="6"/>
      <c r="B607" t="str">
        <f t="shared" si="46"/>
        <v/>
      </c>
      <c r="C607" t="str">
        <f t="shared" si="47"/>
        <v/>
      </c>
      <c r="E607" t="str">
        <f>IFERROR(VLOOKUP(D607,Cadastro!$B$4:$H$100,2,FALSE),"")</f>
        <v/>
      </c>
      <c r="F607" t="str">
        <f>IFERROR(VLOOKUP(D607,Cadastro!$B$4:$H$100,3,FALSE),"")</f>
        <v/>
      </c>
      <c r="J607" s="7"/>
      <c r="K607" s="7"/>
      <c r="L607" s="7"/>
      <c r="M607" s="7"/>
      <c r="N607" s="7"/>
      <c r="O607" s="7"/>
      <c r="P607" s="8">
        <f t="shared" si="48"/>
        <v>0</v>
      </c>
      <c r="Q607" s="8">
        <f t="shared" si="49"/>
        <v>0</v>
      </c>
      <c r="R607" s="8">
        <f t="shared" si="50"/>
        <v>0</v>
      </c>
    </row>
    <row r="608" spans="1:18">
      <c r="A608" s="6"/>
      <c r="B608" t="str">
        <f t="shared" si="46"/>
        <v/>
      </c>
      <c r="C608" t="str">
        <f t="shared" si="47"/>
        <v/>
      </c>
      <c r="E608" t="str">
        <f>IFERROR(VLOOKUP(D608,Cadastro!$B$4:$H$100,2,FALSE),"")</f>
        <v/>
      </c>
      <c r="F608" t="str">
        <f>IFERROR(VLOOKUP(D608,Cadastro!$B$4:$H$100,3,FALSE),"")</f>
        <v/>
      </c>
      <c r="J608" s="7"/>
      <c r="K608" s="7"/>
      <c r="L608" s="7"/>
      <c r="M608" s="7"/>
      <c r="N608" s="7"/>
      <c r="O608" s="7"/>
      <c r="P608" s="8">
        <f t="shared" si="48"/>
        <v>0</v>
      </c>
      <c r="Q608" s="8">
        <f t="shared" si="49"/>
        <v>0</v>
      </c>
      <c r="R608" s="8">
        <f t="shared" si="50"/>
        <v>0</v>
      </c>
    </row>
    <row r="609" spans="1:18">
      <c r="A609" s="6"/>
      <c r="B609" t="str">
        <f t="shared" si="46"/>
        <v/>
      </c>
      <c r="C609" t="str">
        <f t="shared" si="47"/>
        <v/>
      </c>
      <c r="E609" t="str">
        <f>IFERROR(VLOOKUP(D609,Cadastro!$B$4:$H$100,2,FALSE),"")</f>
        <v/>
      </c>
      <c r="F609" t="str">
        <f>IFERROR(VLOOKUP(D609,Cadastro!$B$4:$H$100,3,FALSE),"")</f>
        <v/>
      </c>
      <c r="J609" s="7"/>
      <c r="K609" s="7"/>
      <c r="L609" s="7"/>
      <c r="M609" s="7"/>
      <c r="N609" s="7"/>
      <c r="O609" s="7"/>
      <c r="P609" s="8">
        <f t="shared" si="48"/>
        <v>0</v>
      </c>
      <c r="Q609" s="8">
        <f t="shared" si="49"/>
        <v>0</v>
      </c>
      <c r="R609" s="8">
        <f t="shared" si="50"/>
        <v>0</v>
      </c>
    </row>
    <row r="610" spans="1:18">
      <c r="A610" s="6"/>
      <c r="B610" t="str">
        <f t="shared" si="46"/>
        <v/>
      </c>
      <c r="C610" t="str">
        <f t="shared" si="47"/>
        <v/>
      </c>
      <c r="E610" t="str">
        <f>IFERROR(VLOOKUP(D610,Cadastro!$B$4:$H$100,2,FALSE),"")</f>
        <v/>
      </c>
      <c r="F610" t="str">
        <f>IFERROR(VLOOKUP(D610,Cadastro!$B$4:$H$100,3,FALSE),"")</f>
        <v/>
      </c>
      <c r="J610" s="7"/>
      <c r="K610" s="7"/>
      <c r="L610" s="7"/>
      <c r="M610" s="7"/>
      <c r="N610" s="7"/>
      <c r="O610" s="7"/>
      <c r="P610" s="8">
        <f t="shared" si="48"/>
        <v>0</v>
      </c>
      <c r="Q610" s="8">
        <f t="shared" si="49"/>
        <v>0</v>
      </c>
      <c r="R610" s="8">
        <f t="shared" si="50"/>
        <v>0</v>
      </c>
    </row>
    <row r="611" spans="1:18">
      <c r="A611" s="6"/>
      <c r="B611" t="str">
        <f t="shared" si="46"/>
        <v/>
      </c>
      <c r="C611" t="str">
        <f t="shared" si="47"/>
        <v/>
      </c>
      <c r="E611" t="str">
        <f>IFERROR(VLOOKUP(D611,Cadastro!$B$4:$H$100,2,FALSE),"")</f>
        <v/>
      </c>
      <c r="F611" t="str">
        <f>IFERROR(VLOOKUP(D611,Cadastro!$B$4:$H$100,3,FALSE),"")</f>
        <v/>
      </c>
      <c r="J611" s="7"/>
      <c r="K611" s="7"/>
      <c r="L611" s="7"/>
      <c r="M611" s="7"/>
      <c r="N611" s="7"/>
      <c r="O611" s="7"/>
      <c r="P611" s="8">
        <f t="shared" si="48"/>
        <v>0</v>
      </c>
      <c r="Q611" s="8">
        <f t="shared" si="49"/>
        <v>0</v>
      </c>
      <c r="R611" s="8">
        <f t="shared" si="50"/>
        <v>0</v>
      </c>
    </row>
    <row r="612" spans="1:18">
      <c r="A612" s="6"/>
      <c r="B612" t="str">
        <f t="shared" si="46"/>
        <v/>
      </c>
      <c r="C612" t="str">
        <f t="shared" si="47"/>
        <v/>
      </c>
      <c r="E612" t="str">
        <f>IFERROR(VLOOKUP(D612,Cadastro!$B$4:$H$100,2,FALSE),"")</f>
        <v/>
      </c>
      <c r="F612" t="str">
        <f>IFERROR(VLOOKUP(D612,Cadastro!$B$4:$H$100,3,FALSE),"")</f>
        <v/>
      </c>
      <c r="J612" s="7"/>
      <c r="K612" s="7"/>
      <c r="L612" s="7"/>
      <c r="M612" s="7"/>
      <c r="N612" s="7"/>
      <c r="O612" s="7"/>
      <c r="P612" s="8">
        <f t="shared" si="48"/>
        <v>0</v>
      </c>
      <c r="Q612" s="8">
        <f t="shared" si="49"/>
        <v>0</v>
      </c>
      <c r="R612" s="8">
        <f t="shared" si="50"/>
        <v>0</v>
      </c>
    </row>
    <row r="613" spans="1:18">
      <c r="A613" s="6"/>
      <c r="B613" t="str">
        <f t="shared" si="46"/>
        <v/>
      </c>
      <c r="C613" t="str">
        <f t="shared" si="47"/>
        <v/>
      </c>
      <c r="E613" t="str">
        <f>IFERROR(VLOOKUP(D613,Cadastro!$B$4:$H$100,2,FALSE),"")</f>
        <v/>
      </c>
      <c r="F613" t="str">
        <f>IFERROR(VLOOKUP(D613,Cadastro!$B$4:$H$100,3,FALSE),"")</f>
        <v/>
      </c>
      <c r="J613" s="7"/>
      <c r="K613" s="7"/>
      <c r="L613" s="7"/>
      <c r="M613" s="7"/>
      <c r="N613" s="7"/>
      <c r="O613" s="7"/>
      <c r="P613" s="8">
        <f t="shared" si="48"/>
        <v>0</v>
      </c>
      <c r="Q613" s="8">
        <f t="shared" si="49"/>
        <v>0</v>
      </c>
      <c r="R613" s="8">
        <f t="shared" si="50"/>
        <v>0</v>
      </c>
    </row>
    <row r="614" spans="1:18">
      <c r="A614" s="6"/>
      <c r="B614" t="str">
        <f t="shared" si="46"/>
        <v/>
      </c>
      <c r="C614" t="str">
        <f t="shared" si="47"/>
        <v/>
      </c>
      <c r="E614" t="str">
        <f>IFERROR(VLOOKUP(D614,Cadastro!$B$4:$H$100,2,FALSE),"")</f>
        <v/>
      </c>
      <c r="F614" t="str">
        <f>IFERROR(VLOOKUP(D614,Cadastro!$B$4:$H$100,3,FALSE),"")</f>
        <v/>
      </c>
      <c r="J614" s="7"/>
      <c r="K614" s="7"/>
      <c r="L614" s="7"/>
      <c r="M614" s="7"/>
      <c r="N614" s="7"/>
      <c r="O614" s="7"/>
      <c r="P614" s="8">
        <f t="shared" si="48"/>
        <v>0</v>
      </c>
      <c r="Q614" s="8">
        <f t="shared" si="49"/>
        <v>0</v>
      </c>
      <c r="R614" s="8">
        <f t="shared" si="50"/>
        <v>0</v>
      </c>
    </row>
    <row r="615" spans="1:18">
      <c r="A615" s="6"/>
      <c r="B615" t="str">
        <f t="shared" si="46"/>
        <v/>
      </c>
      <c r="C615" t="str">
        <f t="shared" si="47"/>
        <v/>
      </c>
      <c r="E615" t="str">
        <f>IFERROR(VLOOKUP(D615,Cadastro!$B$4:$H$100,2,FALSE),"")</f>
        <v/>
      </c>
      <c r="F615" t="str">
        <f>IFERROR(VLOOKUP(D615,Cadastro!$B$4:$H$100,3,FALSE),"")</f>
        <v/>
      </c>
      <c r="J615" s="7"/>
      <c r="K615" s="7"/>
      <c r="L615" s="7"/>
      <c r="M615" s="7"/>
      <c r="N615" s="7"/>
      <c r="O615" s="7"/>
      <c r="P615" s="8">
        <f t="shared" si="48"/>
        <v>0</v>
      </c>
      <c r="Q615" s="8">
        <f t="shared" si="49"/>
        <v>0</v>
      </c>
      <c r="R615" s="8">
        <f t="shared" si="50"/>
        <v>0</v>
      </c>
    </row>
    <row r="616" spans="1:18">
      <c r="A616" s="6"/>
      <c r="B616" t="str">
        <f t="shared" si="46"/>
        <v/>
      </c>
      <c r="C616" t="str">
        <f t="shared" si="47"/>
        <v/>
      </c>
      <c r="E616" t="str">
        <f>IFERROR(VLOOKUP(D616,Cadastro!$B$4:$H$100,2,FALSE),"")</f>
        <v/>
      </c>
      <c r="F616" t="str">
        <f>IFERROR(VLOOKUP(D616,Cadastro!$B$4:$H$100,3,FALSE),"")</f>
        <v/>
      </c>
      <c r="J616" s="7"/>
      <c r="K616" s="7"/>
      <c r="L616" s="7"/>
      <c r="M616" s="7"/>
      <c r="N616" s="7"/>
      <c r="O616" s="7"/>
      <c r="P616" s="8">
        <f t="shared" si="48"/>
        <v>0</v>
      </c>
      <c r="Q616" s="8">
        <f t="shared" si="49"/>
        <v>0</v>
      </c>
      <c r="R616" s="8">
        <f t="shared" si="50"/>
        <v>0</v>
      </c>
    </row>
    <row r="617" spans="1:18">
      <c r="A617" s="6"/>
      <c r="B617" t="str">
        <f t="shared" si="46"/>
        <v/>
      </c>
      <c r="C617" t="str">
        <f t="shared" si="47"/>
        <v/>
      </c>
      <c r="E617" t="str">
        <f>IFERROR(VLOOKUP(D617,Cadastro!$B$4:$H$100,2,FALSE),"")</f>
        <v/>
      </c>
      <c r="F617" t="str">
        <f>IFERROR(VLOOKUP(D617,Cadastro!$B$4:$H$100,3,FALSE),"")</f>
        <v/>
      </c>
      <c r="J617" s="7"/>
      <c r="K617" s="7"/>
      <c r="L617" s="7"/>
      <c r="M617" s="7"/>
      <c r="N617" s="7"/>
      <c r="O617" s="7"/>
      <c r="P617" s="8">
        <f t="shared" si="48"/>
        <v>0</v>
      </c>
      <c r="Q617" s="8">
        <f t="shared" si="49"/>
        <v>0</v>
      </c>
      <c r="R617" s="8">
        <f t="shared" si="50"/>
        <v>0</v>
      </c>
    </row>
    <row r="618" spans="1:18">
      <c r="A618" s="6"/>
      <c r="B618" t="str">
        <f t="shared" si="46"/>
        <v/>
      </c>
      <c r="C618" t="str">
        <f t="shared" si="47"/>
        <v/>
      </c>
      <c r="E618" t="str">
        <f>IFERROR(VLOOKUP(D618,Cadastro!$B$4:$H$100,2,FALSE),"")</f>
        <v/>
      </c>
      <c r="F618" t="str">
        <f>IFERROR(VLOOKUP(D618,Cadastro!$B$4:$H$100,3,FALSE),"")</f>
        <v/>
      </c>
      <c r="J618" s="7"/>
      <c r="K618" s="7"/>
      <c r="L618" s="7"/>
      <c r="M618" s="7"/>
      <c r="N618" s="7"/>
      <c r="O618" s="7"/>
      <c r="P618" s="8">
        <f t="shared" si="48"/>
        <v>0</v>
      </c>
      <c r="Q618" s="8">
        <f t="shared" si="49"/>
        <v>0</v>
      </c>
      <c r="R618" s="8">
        <f t="shared" si="50"/>
        <v>0</v>
      </c>
    </row>
    <row r="619" spans="1:18">
      <c r="A619" s="6"/>
      <c r="B619" t="str">
        <f t="shared" si="46"/>
        <v/>
      </c>
      <c r="C619" t="str">
        <f t="shared" si="47"/>
        <v/>
      </c>
      <c r="E619" t="str">
        <f>IFERROR(VLOOKUP(D619,Cadastro!$B$4:$H$100,2,FALSE),"")</f>
        <v/>
      </c>
      <c r="F619" t="str">
        <f>IFERROR(VLOOKUP(D619,Cadastro!$B$4:$H$100,3,FALSE),"")</f>
        <v/>
      </c>
      <c r="J619" s="7"/>
      <c r="K619" s="7"/>
      <c r="L619" s="7"/>
      <c r="M619" s="7"/>
      <c r="N619" s="7"/>
      <c r="O619" s="7"/>
      <c r="P619" s="8">
        <f t="shared" si="48"/>
        <v>0</v>
      </c>
      <c r="Q619" s="8">
        <f t="shared" si="49"/>
        <v>0</v>
      </c>
      <c r="R619" s="8">
        <f t="shared" si="50"/>
        <v>0</v>
      </c>
    </row>
    <row r="620" spans="1:18">
      <c r="A620" s="6"/>
      <c r="B620" t="str">
        <f t="shared" si="46"/>
        <v/>
      </c>
      <c r="C620" t="str">
        <f t="shared" si="47"/>
        <v/>
      </c>
      <c r="E620" t="str">
        <f>IFERROR(VLOOKUP(D620,Cadastro!$B$4:$H$100,2,FALSE),"")</f>
        <v/>
      </c>
      <c r="F620" t="str">
        <f>IFERROR(VLOOKUP(D620,Cadastro!$B$4:$H$100,3,FALSE),"")</f>
        <v/>
      </c>
      <c r="J620" s="7"/>
      <c r="K620" s="7"/>
      <c r="L620" s="7"/>
      <c r="M620" s="7"/>
      <c r="N620" s="7"/>
      <c r="O620" s="7"/>
      <c r="P620" s="8">
        <f t="shared" si="48"/>
        <v>0</v>
      </c>
      <c r="Q620" s="8">
        <f t="shared" si="49"/>
        <v>0</v>
      </c>
      <c r="R620" s="8">
        <f t="shared" si="50"/>
        <v>0</v>
      </c>
    </row>
    <row r="621" spans="1:18">
      <c r="A621" s="6"/>
      <c r="B621" t="str">
        <f t="shared" si="46"/>
        <v/>
      </c>
      <c r="C621" t="str">
        <f t="shared" si="47"/>
        <v/>
      </c>
      <c r="E621" t="str">
        <f>IFERROR(VLOOKUP(D621,Cadastro!$B$4:$H$100,2,FALSE),"")</f>
        <v/>
      </c>
      <c r="F621" t="str">
        <f>IFERROR(VLOOKUP(D621,Cadastro!$B$4:$H$100,3,FALSE),"")</f>
        <v/>
      </c>
      <c r="J621" s="7"/>
      <c r="K621" s="7"/>
      <c r="L621" s="7"/>
      <c r="M621" s="7"/>
      <c r="N621" s="7"/>
      <c r="O621" s="7"/>
      <c r="P621" s="8">
        <f t="shared" si="48"/>
        <v>0</v>
      </c>
      <c r="Q621" s="8">
        <f t="shared" si="49"/>
        <v>0</v>
      </c>
      <c r="R621" s="8">
        <f t="shared" si="50"/>
        <v>0</v>
      </c>
    </row>
    <row r="622" spans="1:18">
      <c r="A622" s="6"/>
      <c r="B622" t="str">
        <f t="shared" si="46"/>
        <v/>
      </c>
      <c r="C622" t="str">
        <f t="shared" si="47"/>
        <v/>
      </c>
      <c r="E622" t="str">
        <f>IFERROR(VLOOKUP(D622,Cadastro!$B$4:$H$100,2,FALSE),"")</f>
        <v/>
      </c>
      <c r="F622" t="str">
        <f>IFERROR(VLOOKUP(D622,Cadastro!$B$4:$H$100,3,FALSE),"")</f>
        <v/>
      </c>
      <c r="J622" s="7"/>
      <c r="K622" s="7"/>
      <c r="L622" s="7"/>
      <c r="M622" s="7"/>
      <c r="N622" s="7"/>
      <c r="O622" s="7"/>
      <c r="P622" s="8">
        <f t="shared" si="48"/>
        <v>0</v>
      </c>
      <c r="Q622" s="8">
        <f t="shared" si="49"/>
        <v>0</v>
      </c>
      <c r="R622" s="8">
        <f t="shared" si="50"/>
        <v>0</v>
      </c>
    </row>
    <row r="623" spans="1:18">
      <c r="A623" s="6"/>
      <c r="B623" t="str">
        <f t="shared" si="46"/>
        <v/>
      </c>
      <c r="C623" t="str">
        <f t="shared" si="47"/>
        <v/>
      </c>
      <c r="E623" t="str">
        <f>IFERROR(VLOOKUP(D623,Cadastro!$B$4:$H$100,2,FALSE),"")</f>
        <v/>
      </c>
      <c r="F623" t="str">
        <f>IFERROR(VLOOKUP(D623,Cadastro!$B$4:$H$100,3,FALSE),"")</f>
        <v/>
      </c>
      <c r="J623" s="7"/>
      <c r="K623" s="7"/>
      <c r="L623" s="7"/>
      <c r="M623" s="7"/>
      <c r="N623" s="7"/>
      <c r="O623" s="7"/>
      <c r="P623" s="8">
        <f t="shared" si="48"/>
        <v>0</v>
      </c>
      <c r="Q623" s="8">
        <f t="shared" si="49"/>
        <v>0</v>
      </c>
      <c r="R623" s="8">
        <f t="shared" si="50"/>
        <v>0</v>
      </c>
    </row>
    <row r="624" spans="1:18">
      <c r="A624" s="6"/>
      <c r="B624" t="str">
        <f t="shared" si="46"/>
        <v/>
      </c>
      <c r="C624" t="str">
        <f t="shared" si="47"/>
        <v/>
      </c>
      <c r="E624" t="str">
        <f>IFERROR(VLOOKUP(D624,Cadastro!$B$4:$H$100,2,FALSE),"")</f>
        <v/>
      </c>
      <c r="F624" t="str">
        <f>IFERROR(VLOOKUP(D624,Cadastro!$B$4:$H$100,3,FALSE),"")</f>
        <v/>
      </c>
      <c r="J624" s="7"/>
      <c r="K624" s="7"/>
      <c r="L624" s="7"/>
      <c r="M624" s="7"/>
      <c r="N624" s="7"/>
      <c r="O624" s="7"/>
      <c r="P624" s="8">
        <f t="shared" si="48"/>
        <v>0</v>
      </c>
      <c r="Q624" s="8">
        <f t="shared" si="49"/>
        <v>0</v>
      </c>
      <c r="R624" s="8">
        <f t="shared" si="50"/>
        <v>0</v>
      </c>
    </row>
    <row r="625" spans="1:18">
      <c r="A625" s="6"/>
      <c r="B625" t="str">
        <f t="shared" si="46"/>
        <v/>
      </c>
      <c r="C625" t="str">
        <f t="shared" si="47"/>
        <v/>
      </c>
      <c r="E625" t="str">
        <f>IFERROR(VLOOKUP(D625,Cadastro!$B$4:$H$100,2,FALSE),"")</f>
        <v/>
      </c>
      <c r="F625" t="str">
        <f>IFERROR(VLOOKUP(D625,Cadastro!$B$4:$H$100,3,FALSE),"")</f>
        <v/>
      </c>
      <c r="J625" s="7"/>
      <c r="K625" s="7"/>
      <c r="L625" s="7"/>
      <c r="M625" s="7"/>
      <c r="N625" s="7"/>
      <c r="O625" s="7"/>
      <c r="P625" s="8">
        <f t="shared" si="48"/>
        <v>0</v>
      </c>
      <c r="Q625" s="8">
        <f t="shared" si="49"/>
        <v>0</v>
      </c>
      <c r="R625" s="8">
        <f t="shared" si="50"/>
        <v>0</v>
      </c>
    </row>
    <row r="626" spans="1:18">
      <c r="A626" s="6"/>
      <c r="B626" t="str">
        <f t="shared" si="46"/>
        <v/>
      </c>
      <c r="C626" t="str">
        <f t="shared" si="47"/>
        <v/>
      </c>
      <c r="E626" t="str">
        <f>IFERROR(VLOOKUP(D626,Cadastro!$B$4:$H$100,2,FALSE),"")</f>
        <v/>
      </c>
      <c r="F626" t="str">
        <f>IFERROR(VLOOKUP(D626,Cadastro!$B$4:$H$100,3,FALSE),"")</f>
        <v/>
      </c>
      <c r="J626" s="7"/>
      <c r="K626" s="7"/>
      <c r="L626" s="7"/>
      <c r="M626" s="7"/>
      <c r="N626" s="7"/>
      <c r="O626" s="7"/>
      <c r="P626" s="8">
        <f t="shared" si="48"/>
        <v>0</v>
      </c>
      <c r="Q626" s="8">
        <f t="shared" si="49"/>
        <v>0</v>
      </c>
      <c r="R626" s="8">
        <f t="shared" si="50"/>
        <v>0</v>
      </c>
    </row>
    <row r="627" spans="1:18">
      <c r="A627" s="6"/>
      <c r="B627" t="str">
        <f t="shared" si="46"/>
        <v/>
      </c>
      <c r="C627" t="str">
        <f t="shared" si="47"/>
        <v/>
      </c>
      <c r="E627" t="str">
        <f>IFERROR(VLOOKUP(D627,Cadastro!$B$4:$H$100,2,FALSE),"")</f>
        <v/>
      </c>
      <c r="F627" t="str">
        <f>IFERROR(VLOOKUP(D627,Cadastro!$B$4:$H$100,3,FALSE),"")</f>
        <v/>
      </c>
      <c r="J627" s="7"/>
      <c r="K627" s="7"/>
      <c r="L627" s="7"/>
      <c r="M627" s="7"/>
      <c r="N627" s="7"/>
      <c r="O627" s="7"/>
      <c r="P627" s="8">
        <f t="shared" si="48"/>
        <v>0</v>
      </c>
      <c r="Q627" s="8">
        <f t="shared" si="49"/>
        <v>0</v>
      </c>
      <c r="R627" s="8">
        <f t="shared" si="50"/>
        <v>0</v>
      </c>
    </row>
    <row r="628" spans="1:18">
      <c r="A628" s="6"/>
      <c r="B628" t="str">
        <f t="shared" si="46"/>
        <v/>
      </c>
      <c r="C628" t="str">
        <f t="shared" si="47"/>
        <v/>
      </c>
      <c r="E628" t="str">
        <f>IFERROR(VLOOKUP(D628,Cadastro!$B$4:$H$100,2,FALSE),"")</f>
        <v/>
      </c>
      <c r="F628" t="str">
        <f>IFERROR(VLOOKUP(D628,Cadastro!$B$4:$H$100,3,FALSE),"")</f>
        <v/>
      </c>
      <c r="J628" s="7"/>
      <c r="K628" s="7"/>
      <c r="L628" s="7"/>
      <c r="M628" s="7"/>
      <c r="N628" s="7"/>
      <c r="O628" s="7"/>
      <c r="P628" s="8">
        <f t="shared" si="48"/>
        <v>0</v>
      </c>
      <c r="Q628" s="8">
        <f t="shared" si="49"/>
        <v>0</v>
      </c>
      <c r="R628" s="8">
        <f t="shared" si="50"/>
        <v>0</v>
      </c>
    </row>
    <row r="629" spans="1:18">
      <c r="A629" s="6"/>
      <c r="B629" t="str">
        <f t="shared" si="46"/>
        <v/>
      </c>
      <c r="C629" t="str">
        <f t="shared" si="47"/>
        <v/>
      </c>
      <c r="E629" t="str">
        <f>IFERROR(VLOOKUP(D629,Cadastro!$B$4:$H$100,2,FALSE),"")</f>
        <v/>
      </c>
      <c r="F629" t="str">
        <f>IFERROR(VLOOKUP(D629,Cadastro!$B$4:$H$100,3,FALSE),"")</f>
        <v/>
      </c>
      <c r="J629" s="7"/>
      <c r="K629" s="7"/>
      <c r="L629" s="7"/>
      <c r="M629" s="7"/>
      <c r="N629" s="7"/>
      <c r="O629" s="7"/>
      <c r="P629" s="8">
        <f t="shared" si="48"/>
        <v>0</v>
      </c>
      <c r="Q629" s="8">
        <f t="shared" si="49"/>
        <v>0</v>
      </c>
      <c r="R629" s="8">
        <f t="shared" si="50"/>
        <v>0</v>
      </c>
    </row>
    <row r="630" spans="1:18">
      <c r="A630" s="6"/>
      <c r="B630" t="str">
        <f t="shared" si="46"/>
        <v/>
      </c>
      <c r="C630" t="str">
        <f t="shared" si="47"/>
        <v/>
      </c>
      <c r="E630" t="str">
        <f>IFERROR(VLOOKUP(D630,Cadastro!$B$4:$H$100,2,FALSE),"")</f>
        <v/>
      </c>
      <c r="F630" t="str">
        <f>IFERROR(VLOOKUP(D630,Cadastro!$B$4:$H$100,3,FALSE),"")</f>
        <v/>
      </c>
      <c r="J630" s="7"/>
      <c r="K630" s="7"/>
      <c r="L630" s="7"/>
      <c r="M630" s="7"/>
      <c r="N630" s="7"/>
      <c r="O630" s="7"/>
      <c r="P630" s="8">
        <f t="shared" si="48"/>
        <v>0</v>
      </c>
      <c r="Q630" s="8">
        <f t="shared" si="49"/>
        <v>0</v>
      </c>
      <c r="R630" s="8">
        <f t="shared" si="50"/>
        <v>0</v>
      </c>
    </row>
    <row r="631" spans="1:18">
      <c r="A631" s="6"/>
      <c r="B631" t="str">
        <f t="shared" si="46"/>
        <v/>
      </c>
      <c r="C631" t="str">
        <f t="shared" si="47"/>
        <v/>
      </c>
      <c r="E631" t="str">
        <f>IFERROR(VLOOKUP(D631,Cadastro!$B$4:$H$100,2,FALSE),"")</f>
        <v/>
      </c>
      <c r="F631" t="str">
        <f>IFERROR(VLOOKUP(D631,Cadastro!$B$4:$H$100,3,FALSE),"")</f>
        <v/>
      </c>
      <c r="J631" s="7"/>
      <c r="K631" s="7"/>
      <c r="L631" s="7"/>
      <c r="M631" s="7"/>
      <c r="N631" s="7"/>
      <c r="O631" s="7"/>
      <c r="P631" s="8">
        <f t="shared" si="48"/>
        <v>0</v>
      </c>
      <c r="Q631" s="8">
        <f t="shared" si="49"/>
        <v>0</v>
      </c>
      <c r="R631" s="8">
        <f t="shared" si="50"/>
        <v>0</v>
      </c>
    </row>
    <row r="632" spans="1:18">
      <c r="A632" s="6"/>
      <c r="B632" t="str">
        <f t="shared" si="46"/>
        <v/>
      </c>
      <c r="C632" t="str">
        <f t="shared" si="47"/>
        <v/>
      </c>
      <c r="E632" t="str">
        <f>IFERROR(VLOOKUP(D632,Cadastro!$B$4:$H$100,2,FALSE),"")</f>
        <v/>
      </c>
      <c r="F632" t="str">
        <f>IFERROR(VLOOKUP(D632,Cadastro!$B$4:$H$100,3,FALSE),"")</f>
        <v/>
      </c>
      <c r="J632" s="7"/>
      <c r="K632" s="7"/>
      <c r="L632" s="7"/>
      <c r="M632" s="7"/>
      <c r="N632" s="7"/>
      <c r="O632" s="7"/>
      <c r="P632" s="8">
        <f t="shared" si="48"/>
        <v>0</v>
      </c>
      <c r="Q632" s="8">
        <f t="shared" si="49"/>
        <v>0</v>
      </c>
      <c r="R632" s="8">
        <f t="shared" si="50"/>
        <v>0</v>
      </c>
    </row>
    <row r="633" spans="1:18">
      <c r="A633" s="6"/>
      <c r="B633" t="str">
        <f t="shared" si="46"/>
        <v/>
      </c>
      <c r="C633" t="str">
        <f t="shared" si="47"/>
        <v/>
      </c>
      <c r="E633" t="str">
        <f>IFERROR(VLOOKUP(D633,Cadastro!$B$4:$H$100,2,FALSE),"")</f>
        <v/>
      </c>
      <c r="F633" t="str">
        <f>IFERROR(VLOOKUP(D633,Cadastro!$B$4:$H$100,3,FALSE),"")</f>
        <v/>
      </c>
      <c r="J633" s="7"/>
      <c r="K633" s="7"/>
      <c r="L633" s="7"/>
      <c r="M633" s="7"/>
      <c r="N633" s="7"/>
      <c r="O633" s="7"/>
      <c r="P633" s="8">
        <f t="shared" si="48"/>
        <v>0</v>
      </c>
      <c r="Q633" s="8">
        <f t="shared" si="49"/>
        <v>0</v>
      </c>
      <c r="R633" s="8">
        <f t="shared" si="50"/>
        <v>0</v>
      </c>
    </row>
    <row r="634" spans="1:18">
      <c r="A634" s="6"/>
      <c r="B634" t="str">
        <f t="shared" si="46"/>
        <v/>
      </c>
      <c r="C634" t="str">
        <f t="shared" si="47"/>
        <v/>
      </c>
      <c r="E634" t="str">
        <f>IFERROR(VLOOKUP(D634,Cadastro!$B$4:$H$100,2,FALSE),"")</f>
        <v/>
      </c>
      <c r="F634" t="str">
        <f>IFERROR(VLOOKUP(D634,Cadastro!$B$4:$H$100,3,FALSE),"")</f>
        <v/>
      </c>
      <c r="J634" s="7"/>
      <c r="K634" s="7"/>
      <c r="L634" s="7"/>
      <c r="M634" s="7"/>
      <c r="N634" s="7"/>
      <c r="O634" s="7"/>
      <c r="P634" s="8">
        <f t="shared" si="48"/>
        <v>0</v>
      </c>
      <c r="Q634" s="8">
        <f t="shared" si="49"/>
        <v>0</v>
      </c>
      <c r="R634" s="8">
        <f t="shared" si="50"/>
        <v>0</v>
      </c>
    </row>
    <row r="635" spans="1:18">
      <c r="A635" s="6"/>
      <c r="B635" t="str">
        <f t="shared" si="46"/>
        <v/>
      </c>
      <c r="C635" t="str">
        <f t="shared" si="47"/>
        <v/>
      </c>
      <c r="E635" t="str">
        <f>IFERROR(VLOOKUP(D635,Cadastro!$B$4:$H$100,2,FALSE),"")</f>
        <v/>
      </c>
      <c r="F635" t="str">
        <f>IFERROR(VLOOKUP(D635,Cadastro!$B$4:$H$100,3,FALSE),"")</f>
        <v/>
      </c>
      <c r="J635" s="7"/>
      <c r="K635" s="7"/>
      <c r="L635" s="7"/>
      <c r="M635" s="7"/>
      <c r="N635" s="7"/>
      <c r="O635" s="7"/>
      <c r="P635" s="8">
        <f t="shared" si="48"/>
        <v>0</v>
      </c>
      <c r="Q635" s="8">
        <f t="shared" si="49"/>
        <v>0</v>
      </c>
      <c r="R635" s="8">
        <f t="shared" si="50"/>
        <v>0</v>
      </c>
    </row>
    <row r="636" spans="1:18">
      <c r="A636" s="6"/>
      <c r="B636" t="str">
        <f t="shared" si="46"/>
        <v/>
      </c>
      <c r="C636" t="str">
        <f t="shared" si="47"/>
        <v/>
      </c>
      <c r="E636" t="str">
        <f>IFERROR(VLOOKUP(D636,Cadastro!$B$4:$H$100,2,FALSE),"")</f>
        <v/>
      </c>
      <c r="F636" t="str">
        <f>IFERROR(VLOOKUP(D636,Cadastro!$B$4:$H$100,3,FALSE),"")</f>
        <v/>
      </c>
      <c r="J636" s="7"/>
      <c r="K636" s="7"/>
      <c r="L636" s="7"/>
      <c r="M636" s="7"/>
      <c r="N636" s="7"/>
      <c r="O636" s="7"/>
      <c r="P636" s="8">
        <f t="shared" si="48"/>
        <v>0</v>
      </c>
      <c r="Q636" s="8">
        <f t="shared" si="49"/>
        <v>0</v>
      </c>
      <c r="R636" s="8">
        <f t="shared" si="50"/>
        <v>0</v>
      </c>
    </row>
    <row r="637" spans="1:18">
      <c r="A637" s="6"/>
      <c r="B637" t="str">
        <f t="shared" si="46"/>
        <v/>
      </c>
      <c r="C637" t="str">
        <f t="shared" si="47"/>
        <v/>
      </c>
      <c r="E637" t="str">
        <f>IFERROR(VLOOKUP(D637,Cadastro!$B$4:$H$100,2,FALSE),"")</f>
        <v/>
      </c>
      <c r="F637" t="str">
        <f>IFERROR(VLOOKUP(D637,Cadastro!$B$4:$H$100,3,FALSE),"")</f>
        <v/>
      </c>
      <c r="J637" s="7"/>
      <c r="K637" s="7"/>
      <c r="L637" s="7"/>
      <c r="M637" s="7"/>
      <c r="N637" s="7"/>
      <c r="O637" s="7"/>
      <c r="P637" s="8">
        <f t="shared" si="48"/>
        <v>0</v>
      </c>
      <c r="Q637" s="8">
        <f t="shared" si="49"/>
        <v>0</v>
      </c>
      <c r="R637" s="8">
        <f t="shared" si="50"/>
        <v>0</v>
      </c>
    </row>
    <row r="638" spans="1:18">
      <c r="A638" s="6"/>
      <c r="B638" t="str">
        <f t="shared" si="46"/>
        <v/>
      </c>
      <c r="C638" t="str">
        <f t="shared" si="47"/>
        <v/>
      </c>
      <c r="E638" t="str">
        <f>IFERROR(VLOOKUP(D638,Cadastro!$B$4:$H$100,2,FALSE),"")</f>
        <v/>
      </c>
      <c r="F638" t="str">
        <f>IFERROR(VLOOKUP(D638,Cadastro!$B$4:$H$100,3,FALSE),"")</f>
        <v/>
      </c>
      <c r="J638" s="7"/>
      <c r="K638" s="7"/>
      <c r="L638" s="7"/>
      <c r="M638" s="7"/>
      <c r="N638" s="7"/>
      <c r="O638" s="7"/>
      <c r="P638" s="8">
        <f t="shared" si="48"/>
        <v>0</v>
      </c>
      <c r="Q638" s="8">
        <f t="shared" si="49"/>
        <v>0</v>
      </c>
      <c r="R638" s="8">
        <f t="shared" si="50"/>
        <v>0</v>
      </c>
    </row>
    <row r="639" spans="1:18">
      <c r="A639" s="6"/>
      <c r="B639" t="str">
        <f t="shared" si="46"/>
        <v/>
      </c>
      <c r="C639" t="str">
        <f t="shared" si="47"/>
        <v/>
      </c>
      <c r="E639" t="str">
        <f>IFERROR(VLOOKUP(D639,Cadastro!$B$4:$H$100,2,FALSE),"")</f>
        <v/>
      </c>
      <c r="F639" t="str">
        <f>IFERROR(VLOOKUP(D639,Cadastro!$B$4:$H$100,3,FALSE),"")</f>
        <v/>
      </c>
      <c r="J639" s="7"/>
      <c r="K639" s="7"/>
      <c r="L639" s="7"/>
      <c r="M639" s="7"/>
      <c r="N639" s="7"/>
      <c r="O639" s="7"/>
      <c r="P639" s="8">
        <f t="shared" si="48"/>
        <v>0</v>
      </c>
      <c r="Q639" s="8">
        <f t="shared" si="49"/>
        <v>0</v>
      </c>
      <c r="R639" s="8">
        <f t="shared" si="50"/>
        <v>0</v>
      </c>
    </row>
    <row r="640" spans="1:18">
      <c r="A640" s="6"/>
      <c r="B640" t="str">
        <f t="shared" si="46"/>
        <v/>
      </c>
      <c r="C640" t="str">
        <f t="shared" si="47"/>
        <v/>
      </c>
      <c r="E640" t="str">
        <f>IFERROR(VLOOKUP(D640,Cadastro!$B$4:$H$100,2,FALSE),"")</f>
        <v/>
      </c>
      <c r="F640" t="str">
        <f>IFERROR(VLOOKUP(D640,Cadastro!$B$4:$H$100,3,FALSE),"")</f>
        <v/>
      </c>
      <c r="J640" s="7"/>
      <c r="K640" s="7"/>
      <c r="L640" s="7"/>
      <c r="M640" s="7"/>
      <c r="N640" s="7"/>
      <c r="O640" s="7"/>
      <c r="P640" s="8">
        <f t="shared" si="48"/>
        <v>0</v>
      </c>
      <c r="Q640" s="8">
        <f t="shared" si="49"/>
        <v>0</v>
      </c>
      <c r="R640" s="8">
        <f t="shared" si="50"/>
        <v>0</v>
      </c>
    </row>
    <row r="641" spans="1:18">
      <c r="A641" s="6"/>
      <c r="B641" t="str">
        <f t="shared" si="46"/>
        <v/>
      </c>
      <c r="C641" t="str">
        <f t="shared" si="47"/>
        <v/>
      </c>
      <c r="E641" t="str">
        <f>IFERROR(VLOOKUP(D641,Cadastro!$B$4:$H$100,2,FALSE),"")</f>
        <v/>
      </c>
      <c r="F641" t="str">
        <f>IFERROR(VLOOKUP(D641,Cadastro!$B$4:$H$100,3,FALSE),"")</f>
        <v/>
      </c>
      <c r="J641" s="7"/>
      <c r="K641" s="7"/>
      <c r="L641" s="7"/>
      <c r="M641" s="7"/>
      <c r="N641" s="7"/>
      <c r="O641" s="7"/>
      <c r="P641" s="8">
        <f t="shared" si="48"/>
        <v>0</v>
      </c>
      <c r="Q641" s="8">
        <f t="shared" si="49"/>
        <v>0</v>
      </c>
      <c r="R641" s="8">
        <f t="shared" si="50"/>
        <v>0</v>
      </c>
    </row>
    <row r="642" spans="1:18">
      <c r="A642" s="6"/>
      <c r="B642" t="str">
        <f t="shared" si="46"/>
        <v/>
      </c>
      <c r="C642" t="str">
        <f t="shared" si="47"/>
        <v/>
      </c>
      <c r="E642" t="str">
        <f>IFERROR(VLOOKUP(D642,Cadastro!$B$4:$H$100,2,FALSE),"")</f>
        <v/>
      </c>
      <c r="F642" t="str">
        <f>IFERROR(VLOOKUP(D642,Cadastro!$B$4:$H$100,3,FALSE),"")</f>
        <v/>
      </c>
      <c r="J642" s="7"/>
      <c r="K642" s="7"/>
      <c r="L642" s="7"/>
      <c r="M642" s="7"/>
      <c r="N642" s="7"/>
      <c r="O642" s="7"/>
      <c r="P642" s="8">
        <f t="shared" si="48"/>
        <v>0</v>
      </c>
      <c r="Q642" s="8">
        <f t="shared" si="49"/>
        <v>0</v>
      </c>
      <c r="R642" s="8">
        <f t="shared" si="50"/>
        <v>0</v>
      </c>
    </row>
    <row r="643" spans="1:18">
      <c r="A643" s="6"/>
      <c r="B643" t="str">
        <f t="shared" si="46"/>
        <v/>
      </c>
      <c r="C643" t="str">
        <f t="shared" si="47"/>
        <v/>
      </c>
      <c r="E643" t="str">
        <f>IFERROR(VLOOKUP(D643,Cadastro!$B$4:$H$100,2,FALSE),"")</f>
        <v/>
      </c>
      <c r="F643" t="str">
        <f>IFERROR(VLOOKUP(D643,Cadastro!$B$4:$H$100,3,FALSE),"")</f>
        <v/>
      </c>
      <c r="J643" s="7"/>
      <c r="K643" s="7"/>
      <c r="L643" s="7"/>
      <c r="M643" s="7"/>
      <c r="N643" s="7"/>
      <c r="O643" s="7"/>
      <c r="P643" s="8">
        <f t="shared" si="48"/>
        <v>0</v>
      </c>
      <c r="Q643" s="8">
        <f t="shared" si="49"/>
        <v>0</v>
      </c>
      <c r="R643" s="8">
        <f t="shared" si="50"/>
        <v>0</v>
      </c>
    </row>
    <row r="644" spans="1:18">
      <c r="A644" s="6"/>
      <c r="B644" t="str">
        <f t="shared" ref="B644:B707" si="51">IF(A644="","",YEAR(A644))</f>
        <v/>
      </c>
      <c r="C644" t="str">
        <f t="shared" ref="C644:C707" si="52">IF(A644="","",TEXT(A644,"mmmm"))</f>
        <v/>
      </c>
      <c r="E644" t="str">
        <f>IFERROR(VLOOKUP(D644,Cadastro!$B$4:$H$100,2,FALSE),"")</f>
        <v/>
      </c>
      <c r="F644" t="str">
        <f>IFERROR(VLOOKUP(D644,Cadastro!$B$4:$H$100,3,FALSE),"")</f>
        <v/>
      </c>
      <c r="J644" s="7"/>
      <c r="K644" s="7"/>
      <c r="L644" s="7"/>
      <c r="M644" s="7"/>
      <c r="N644" s="7"/>
      <c r="O644" s="7"/>
      <c r="P644" s="8">
        <f t="shared" ref="P644:P707" si="53">IF(OR(J644="",K644=""),0,(K644-J644)*24)+IF(OR(L644="",M644=""),0,(M644-L644)*24)+IF(OR(N644="",O644=""),0,(O644-N644)*24)</f>
        <v>0</v>
      </c>
      <c r="Q644" s="8">
        <f t="shared" ref="Q644:Q707" si="54">IF(OR(I644="Prática",I644="Teórico-prática"),P644,0)</f>
        <v>0</v>
      </c>
      <c r="R644" s="8">
        <f t="shared" ref="R644:R707" si="55">IF(OR(I644="Teórica",I644="Teórico-prática"),P644,0)</f>
        <v>0</v>
      </c>
    </row>
    <row r="645" spans="1:18">
      <c r="A645" s="6"/>
      <c r="B645" t="str">
        <f t="shared" si="51"/>
        <v/>
      </c>
      <c r="C645" t="str">
        <f t="shared" si="52"/>
        <v/>
      </c>
      <c r="E645" t="str">
        <f>IFERROR(VLOOKUP(D645,Cadastro!$B$4:$H$100,2,FALSE),"")</f>
        <v/>
      </c>
      <c r="F645" t="str">
        <f>IFERROR(VLOOKUP(D645,Cadastro!$B$4:$H$100,3,FALSE),"")</f>
        <v/>
      </c>
      <c r="J645" s="7"/>
      <c r="K645" s="7"/>
      <c r="L645" s="7"/>
      <c r="M645" s="7"/>
      <c r="N645" s="7"/>
      <c r="O645" s="7"/>
      <c r="P645" s="8">
        <f t="shared" si="53"/>
        <v>0</v>
      </c>
      <c r="Q645" s="8">
        <f t="shared" si="54"/>
        <v>0</v>
      </c>
      <c r="R645" s="8">
        <f t="shared" si="55"/>
        <v>0</v>
      </c>
    </row>
    <row r="646" spans="1:18">
      <c r="A646" s="6"/>
      <c r="B646" t="str">
        <f t="shared" si="51"/>
        <v/>
      </c>
      <c r="C646" t="str">
        <f t="shared" si="52"/>
        <v/>
      </c>
      <c r="E646" t="str">
        <f>IFERROR(VLOOKUP(D646,Cadastro!$B$4:$H$100,2,FALSE),"")</f>
        <v/>
      </c>
      <c r="F646" t="str">
        <f>IFERROR(VLOOKUP(D646,Cadastro!$B$4:$H$100,3,FALSE),"")</f>
        <v/>
      </c>
      <c r="J646" s="7"/>
      <c r="K646" s="7"/>
      <c r="L646" s="7"/>
      <c r="M646" s="7"/>
      <c r="N646" s="7"/>
      <c r="O646" s="7"/>
      <c r="P646" s="8">
        <f t="shared" si="53"/>
        <v>0</v>
      </c>
      <c r="Q646" s="8">
        <f t="shared" si="54"/>
        <v>0</v>
      </c>
      <c r="R646" s="8">
        <f t="shared" si="55"/>
        <v>0</v>
      </c>
    </row>
    <row r="647" spans="1:18">
      <c r="A647" s="6"/>
      <c r="B647" t="str">
        <f t="shared" si="51"/>
        <v/>
      </c>
      <c r="C647" t="str">
        <f t="shared" si="52"/>
        <v/>
      </c>
      <c r="E647" t="str">
        <f>IFERROR(VLOOKUP(D647,Cadastro!$B$4:$H$100,2,FALSE),"")</f>
        <v/>
      </c>
      <c r="F647" t="str">
        <f>IFERROR(VLOOKUP(D647,Cadastro!$B$4:$H$100,3,FALSE),"")</f>
        <v/>
      </c>
      <c r="J647" s="7"/>
      <c r="K647" s="7"/>
      <c r="L647" s="7"/>
      <c r="M647" s="7"/>
      <c r="N647" s="7"/>
      <c r="O647" s="7"/>
      <c r="P647" s="8">
        <f t="shared" si="53"/>
        <v>0</v>
      </c>
      <c r="Q647" s="8">
        <f t="shared" si="54"/>
        <v>0</v>
      </c>
      <c r="R647" s="8">
        <f t="shared" si="55"/>
        <v>0</v>
      </c>
    </row>
    <row r="648" spans="1:18">
      <c r="A648" s="6"/>
      <c r="B648" t="str">
        <f t="shared" si="51"/>
        <v/>
      </c>
      <c r="C648" t="str">
        <f t="shared" si="52"/>
        <v/>
      </c>
      <c r="E648" t="str">
        <f>IFERROR(VLOOKUP(D648,Cadastro!$B$4:$H$100,2,FALSE),"")</f>
        <v/>
      </c>
      <c r="F648" t="str">
        <f>IFERROR(VLOOKUP(D648,Cadastro!$B$4:$H$100,3,FALSE),"")</f>
        <v/>
      </c>
      <c r="J648" s="7"/>
      <c r="K648" s="7"/>
      <c r="L648" s="7"/>
      <c r="M648" s="7"/>
      <c r="N648" s="7"/>
      <c r="O648" s="7"/>
      <c r="P648" s="8">
        <f t="shared" si="53"/>
        <v>0</v>
      </c>
      <c r="Q648" s="8">
        <f t="shared" si="54"/>
        <v>0</v>
      </c>
      <c r="R648" s="8">
        <f t="shared" si="55"/>
        <v>0</v>
      </c>
    </row>
    <row r="649" spans="1:18">
      <c r="A649" s="6"/>
      <c r="B649" t="str">
        <f t="shared" si="51"/>
        <v/>
      </c>
      <c r="C649" t="str">
        <f t="shared" si="52"/>
        <v/>
      </c>
      <c r="E649" t="str">
        <f>IFERROR(VLOOKUP(D649,Cadastro!$B$4:$H$100,2,FALSE),"")</f>
        <v/>
      </c>
      <c r="F649" t="str">
        <f>IFERROR(VLOOKUP(D649,Cadastro!$B$4:$H$100,3,FALSE),"")</f>
        <v/>
      </c>
      <c r="J649" s="7"/>
      <c r="K649" s="7"/>
      <c r="L649" s="7"/>
      <c r="M649" s="7"/>
      <c r="N649" s="7"/>
      <c r="O649" s="7"/>
      <c r="P649" s="8">
        <f t="shared" si="53"/>
        <v>0</v>
      </c>
      <c r="Q649" s="8">
        <f t="shared" si="54"/>
        <v>0</v>
      </c>
      <c r="R649" s="8">
        <f t="shared" si="55"/>
        <v>0</v>
      </c>
    </row>
    <row r="650" spans="1:18">
      <c r="A650" s="6"/>
      <c r="B650" t="str">
        <f t="shared" si="51"/>
        <v/>
      </c>
      <c r="C650" t="str">
        <f t="shared" si="52"/>
        <v/>
      </c>
      <c r="E650" t="str">
        <f>IFERROR(VLOOKUP(D650,Cadastro!$B$4:$H$100,2,FALSE),"")</f>
        <v/>
      </c>
      <c r="F650" t="str">
        <f>IFERROR(VLOOKUP(D650,Cadastro!$B$4:$H$100,3,FALSE),"")</f>
        <v/>
      </c>
      <c r="J650" s="7"/>
      <c r="K650" s="7"/>
      <c r="L650" s="7"/>
      <c r="M650" s="7"/>
      <c r="N650" s="7"/>
      <c r="O650" s="7"/>
      <c r="P650" s="8">
        <f t="shared" si="53"/>
        <v>0</v>
      </c>
      <c r="Q650" s="8">
        <f t="shared" si="54"/>
        <v>0</v>
      </c>
      <c r="R650" s="8">
        <f t="shared" si="55"/>
        <v>0</v>
      </c>
    </row>
    <row r="651" spans="1:18">
      <c r="A651" s="6"/>
      <c r="B651" t="str">
        <f t="shared" si="51"/>
        <v/>
      </c>
      <c r="C651" t="str">
        <f t="shared" si="52"/>
        <v/>
      </c>
      <c r="E651" t="str">
        <f>IFERROR(VLOOKUP(D651,Cadastro!$B$4:$H$100,2,FALSE),"")</f>
        <v/>
      </c>
      <c r="F651" t="str">
        <f>IFERROR(VLOOKUP(D651,Cadastro!$B$4:$H$100,3,FALSE),"")</f>
        <v/>
      </c>
      <c r="J651" s="7"/>
      <c r="K651" s="7"/>
      <c r="L651" s="7"/>
      <c r="M651" s="7"/>
      <c r="N651" s="7"/>
      <c r="O651" s="7"/>
      <c r="P651" s="8">
        <f t="shared" si="53"/>
        <v>0</v>
      </c>
      <c r="Q651" s="8">
        <f t="shared" si="54"/>
        <v>0</v>
      </c>
      <c r="R651" s="8">
        <f t="shared" si="55"/>
        <v>0</v>
      </c>
    </row>
    <row r="652" spans="1:18">
      <c r="A652" s="6"/>
      <c r="B652" t="str">
        <f t="shared" si="51"/>
        <v/>
      </c>
      <c r="C652" t="str">
        <f t="shared" si="52"/>
        <v/>
      </c>
      <c r="E652" t="str">
        <f>IFERROR(VLOOKUP(D652,Cadastro!$B$4:$H$100,2,FALSE),"")</f>
        <v/>
      </c>
      <c r="F652" t="str">
        <f>IFERROR(VLOOKUP(D652,Cadastro!$B$4:$H$100,3,FALSE),"")</f>
        <v/>
      </c>
      <c r="J652" s="7"/>
      <c r="K652" s="7"/>
      <c r="L652" s="7"/>
      <c r="M652" s="7"/>
      <c r="N652" s="7"/>
      <c r="O652" s="7"/>
      <c r="P652" s="8">
        <f t="shared" si="53"/>
        <v>0</v>
      </c>
      <c r="Q652" s="8">
        <f t="shared" si="54"/>
        <v>0</v>
      </c>
      <c r="R652" s="8">
        <f t="shared" si="55"/>
        <v>0</v>
      </c>
    </row>
    <row r="653" spans="1:18">
      <c r="A653" s="6"/>
      <c r="B653" t="str">
        <f t="shared" si="51"/>
        <v/>
      </c>
      <c r="C653" t="str">
        <f t="shared" si="52"/>
        <v/>
      </c>
      <c r="E653" t="str">
        <f>IFERROR(VLOOKUP(D653,Cadastro!$B$4:$H$100,2,FALSE),"")</f>
        <v/>
      </c>
      <c r="F653" t="str">
        <f>IFERROR(VLOOKUP(D653,Cadastro!$B$4:$H$100,3,FALSE),"")</f>
        <v/>
      </c>
      <c r="J653" s="7"/>
      <c r="K653" s="7"/>
      <c r="L653" s="7"/>
      <c r="M653" s="7"/>
      <c r="N653" s="7"/>
      <c r="O653" s="7"/>
      <c r="P653" s="8">
        <f t="shared" si="53"/>
        <v>0</v>
      </c>
      <c r="Q653" s="8">
        <f t="shared" si="54"/>
        <v>0</v>
      </c>
      <c r="R653" s="8">
        <f t="shared" si="55"/>
        <v>0</v>
      </c>
    </row>
    <row r="654" spans="1:18">
      <c r="A654" s="6"/>
      <c r="B654" t="str">
        <f t="shared" si="51"/>
        <v/>
      </c>
      <c r="C654" t="str">
        <f t="shared" si="52"/>
        <v/>
      </c>
      <c r="E654" t="str">
        <f>IFERROR(VLOOKUP(D654,Cadastro!$B$4:$H$100,2,FALSE),"")</f>
        <v/>
      </c>
      <c r="F654" t="str">
        <f>IFERROR(VLOOKUP(D654,Cadastro!$B$4:$H$100,3,FALSE),"")</f>
        <v/>
      </c>
      <c r="J654" s="7"/>
      <c r="K654" s="7"/>
      <c r="L654" s="7"/>
      <c r="M654" s="7"/>
      <c r="N654" s="7"/>
      <c r="O654" s="7"/>
      <c r="P654" s="8">
        <f t="shared" si="53"/>
        <v>0</v>
      </c>
      <c r="Q654" s="8">
        <f t="shared" si="54"/>
        <v>0</v>
      </c>
      <c r="R654" s="8">
        <f t="shared" si="55"/>
        <v>0</v>
      </c>
    </row>
    <row r="655" spans="1:18">
      <c r="A655" s="6"/>
      <c r="B655" t="str">
        <f t="shared" si="51"/>
        <v/>
      </c>
      <c r="C655" t="str">
        <f t="shared" si="52"/>
        <v/>
      </c>
      <c r="E655" t="str">
        <f>IFERROR(VLOOKUP(D655,Cadastro!$B$4:$H$100,2,FALSE),"")</f>
        <v/>
      </c>
      <c r="F655" t="str">
        <f>IFERROR(VLOOKUP(D655,Cadastro!$B$4:$H$100,3,FALSE),"")</f>
        <v/>
      </c>
      <c r="J655" s="7"/>
      <c r="K655" s="7"/>
      <c r="L655" s="7"/>
      <c r="M655" s="7"/>
      <c r="N655" s="7"/>
      <c r="O655" s="7"/>
      <c r="P655" s="8">
        <f t="shared" si="53"/>
        <v>0</v>
      </c>
      <c r="Q655" s="8">
        <f t="shared" si="54"/>
        <v>0</v>
      </c>
      <c r="R655" s="8">
        <f t="shared" si="55"/>
        <v>0</v>
      </c>
    </row>
    <row r="656" spans="1:18">
      <c r="A656" s="6"/>
      <c r="B656" t="str">
        <f t="shared" si="51"/>
        <v/>
      </c>
      <c r="C656" t="str">
        <f t="shared" si="52"/>
        <v/>
      </c>
      <c r="E656" t="str">
        <f>IFERROR(VLOOKUP(D656,Cadastro!$B$4:$H$100,2,FALSE),"")</f>
        <v/>
      </c>
      <c r="F656" t="str">
        <f>IFERROR(VLOOKUP(D656,Cadastro!$B$4:$H$100,3,FALSE),"")</f>
        <v/>
      </c>
      <c r="J656" s="7"/>
      <c r="K656" s="7"/>
      <c r="L656" s="7"/>
      <c r="M656" s="7"/>
      <c r="N656" s="7"/>
      <c r="O656" s="7"/>
      <c r="P656" s="8">
        <f t="shared" si="53"/>
        <v>0</v>
      </c>
      <c r="Q656" s="8">
        <f t="shared" si="54"/>
        <v>0</v>
      </c>
      <c r="R656" s="8">
        <f t="shared" si="55"/>
        <v>0</v>
      </c>
    </row>
    <row r="657" spans="1:18">
      <c r="A657" s="6"/>
      <c r="B657" t="str">
        <f t="shared" si="51"/>
        <v/>
      </c>
      <c r="C657" t="str">
        <f t="shared" si="52"/>
        <v/>
      </c>
      <c r="E657" t="str">
        <f>IFERROR(VLOOKUP(D657,Cadastro!$B$4:$H$100,2,FALSE),"")</f>
        <v/>
      </c>
      <c r="F657" t="str">
        <f>IFERROR(VLOOKUP(D657,Cadastro!$B$4:$H$100,3,FALSE),"")</f>
        <v/>
      </c>
      <c r="J657" s="7"/>
      <c r="K657" s="7"/>
      <c r="L657" s="7"/>
      <c r="M657" s="7"/>
      <c r="N657" s="7"/>
      <c r="O657" s="7"/>
      <c r="P657" s="8">
        <f t="shared" si="53"/>
        <v>0</v>
      </c>
      <c r="Q657" s="8">
        <f t="shared" si="54"/>
        <v>0</v>
      </c>
      <c r="R657" s="8">
        <f t="shared" si="55"/>
        <v>0</v>
      </c>
    </row>
    <row r="658" spans="1:18">
      <c r="A658" s="6"/>
      <c r="B658" t="str">
        <f t="shared" si="51"/>
        <v/>
      </c>
      <c r="C658" t="str">
        <f t="shared" si="52"/>
        <v/>
      </c>
      <c r="E658" t="str">
        <f>IFERROR(VLOOKUP(D658,Cadastro!$B$4:$H$100,2,FALSE),"")</f>
        <v/>
      </c>
      <c r="F658" t="str">
        <f>IFERROR(VLOOKUP(D658,Cadastro!$B$4:$H$100,3,FALSE),"")</f>
        <v/>
      </c>
      <c r="J658" s="7"/>
      <c r="K658" s="7"/>
      <c r="L658" s="7"/>
      <c r="M658" s="7"/>
      <c r="N658" s="7"/>
      <c r="O658" s="7"/>
      <c r="P658" s="8">
        <f t="shared" si="53"/>
        <v>0</v>
      </c>
      <c r="Q658" s="8">
        <f t="shared" si="54"/>
        <v>0</v>
      </c>
      <c r="R658" s="8">
        <f t="shared" si="55"/>
        <v>0</v>
      </c>
    </row>
    <row r="659" spans="1:18">
      <c r="A659" s="6"/>
      <c r="B659" t="str">
        <f t="shared" si="51"/>
        <v/>
      </c>
      <c r="C659" t="str">
        <f t="shared" si="52"/>
        <v/>
      </c>
      <c r="E659" t="str">
        <f>IFERROR(VLOOKUP(D659,Cadastro!$B$4:$H$100,2,FALSE),"")</f>
        <v/>
      </c>
      <c r="F659" t="str">
        <f>IFERROR(VLOOKUP(D659,Cadastro!$B$4:$H$100,3,FALSE),"")</f>
        <v/>
      </c>
      <c r="J659" s="7"/>
      <c r="K659" s="7"/>
      <c r="L659" s="7"/>
      <c r="M659" s="7"/>
      <c r="N659" s="7"/>
      <c r="O659" s="7"/>
      <c r="P659" s="8">
        <f t="shared" si="53"/>
        <v>0</v>
      </c>
      <c r="Q659" s="8">
        <f t="shared" si="54"/>
        <v>0</v>
      </c>
      <c r="R659" s="8">
        <f t="shared" si="55"/>
        <v>0</v>
      </c>
    </row>
    <row r="660" spans="1:18">
      <c r="A660" s="6"/>
      <c r="B660" t="str">
        <f t="shared" si="51"/>
        <v/>
      </c>
      <c r="C660" t="str">
        <f t="shared" si="52"/>
        <v/>
      </c>
      <c r="E660" t="str">
        <f>IFERROR(VLOOKUP(D660,Cadastro!$B$4:$H$100,2,FALSE),"")</f>
        <v/>
      </c>
      <c r="F660" t="str">
        <f>IFERROR(VLOOKUP(D660,Cadastro!$B$4:$H$100,3,FALSE),"")</f>
        <v/>
      </c>
      <c r="J660" s="7"/>
      <c r="K660" s="7"/>
      <c r="L660" s="7"/>
      <c r="M660" s="7"/>
      <c r="N660" s="7"/>
      <c r="O660" s="7"/>
      <c r="P660" s="8">
        <f t="shared" si="53"/>
        <v>0</v>
      </c>
      <c r="Q660" s="8">
        <f t="shared" si="54"/>
        <v>0</v>
      </c>
      <c r="R660" s="8">
        <f t="shared" si="55"/>
        <v>0</v>
      </c>
    </row>
    <row r="661" spans="1:18">
      <c r="A661" s="6"/>
      <c r="B661" t="str">
        <f t="shared" si="51"/>
        <v/>
      </c>
      <c r="C661" t="str">
        <f t="shared" si="52"/>
        <v/>
      </c>
      <c r="E661" t="str">
        <f>IFERROR(VLOOKUP(D661,Cadastro!$B$4:$H$100,2,FALSE),"")</f>
        <v/>
      </c>
      <c r="F661" t="str">
        <f>IFERROR(VLOOKUP(D661,Cadastro!$B$4:$H$100,3,FALSE),"")</f>
        <v/>
      </c>
      <c r="J661" s="7"/>
      <c r="K661" s="7"/>
      <c r="L661" s="7"/>
      <c r="M661" s="7"/>
      <c r="N661" s="7"/>
      <c r="O661" s="7"/>
      <c r="P661" s="8">
        <f t="shared" si="53"/>
        <v>0</v>
      </c>
      <c r="Q661" s="8">
        <f t="shared" si="54"/>
        <v>0</v>
      </c>
      <c r="R661" s="8">
        <f t="shared" si="55"/>
        <v>0</v>
      </c>
    </row>
    <row r="662" spans="1:18">
      <c r="A662" s="6"/>
      <c r="B662" t="str">
        <f t="shared" si="51"/>
        <v/>
      </c>
      <c r="C662" t="str">
        <f t="shared" si="52"/>
        <v/>
      </c>
      <c r="E662" t="str">
        <f>IFERROR(VLOOKUP(D662,Cadastro!$B$4:$H$100,2,FALSE),"")</f>
        <v/>
      </c>
      <c r="F662" t="str">
        <f>IFERROR(VLOOKUP(D662,Cadastro!$B$4:$H$100,3,FALSE),"")</f>
        <v/>
      </c>
      <c r="J662" s="7"/>
      <c r="K662" s="7"/>
      <c r="L662" s="7"/>
      <c r="M662" s="7"/>
      <c r="N662" s="7"/>
      <c r="O662" s="7"/>
      <c r="P662" s="8">
        <f t="shared" si="53"/>
        <v>0</v>
      </c>
      <c r="Q662" s="8">
        <f t="shared" si="54"/>
        <v>0</v>
      </c>
      <c r="R662" s="8">
        <f t="shared" si="55"/>
        <v>0</v>
      </c>
    </row>
    <row r="663" spans="1:18">
      <c r="A663" s="6"/>
      <c r="B663" t="str">
        <f t="shared" si="51"/>
        <v/>
      </c>
      <c r="C663" t="str">
        <f t="shared" si="52"/>
        <v/>
      </c>
      <c r="E663" t="str">
        <f>IFERROR(VLOOKUP(D663,Cadastro!$B$4:$H$100,2,FALSE),"")</f>
        <v/>
      </c>
      <c r="F663" t="str">
        <f>IFERROR(VLOOKUP(D663,Cadastro!$B$4:$H$100,3,FALSE),"")</f>
        <v/>
      </c>
      <c r="J663" s="7"/>
      <c r="K663" s="7"/>
      <c r="L663" s="7"/>
      <c r="M663" s="7"/>
      <c r="N663" s="7"/>
      <c r="O663" s="7"/>
      <c r="P663" s="8">
        <f t="shared" si="53"/>
        <v>0</v>
      </c>
      <c r="Q663" s="8">
        <f t="shared" si="54"/>
        <v>0</v>
      </c>
      <c r="R663" s="8">
        <f t="shared" si="55"/>
        <v>0</v>
      </c>
    </row>
    <row r="664" spans="1:18">
      <c r="A664" s="6"/>
      <c r="B664" t="str">
        <f t="shared" si="51"/>
        <v/>
      </c>
      <c r="C664" t="str">
        <f t="shared" si="52"/>
        <v/>
      </c>
      <c r="E664" t="str">
        <f>IFERROR(VLOOKUP(D664,Cadastro!$B$4:$H$100,2,FALSE),"")</f>
        <v/>
      </c>
      <c r="F664" t="str">
        <f>IFERROR(VLOOKUP(D664,Cadastro!$B$4:$H$100,3,FALSE),"")</f>
        <v/>
      </c>
      <c r="J664" s="7"/>
      <c r="K664" s="7"/>
      <c r="L664" s="7"/>
      <c r="M664" s="7"/>
      <c r="N664" s="7"/>
      <c r="O664" s="7"/>
      <c r="P664" s="8">
        <f t="shared" si="53"/>
        <v>0</v>
      </c>
      <c r="Q664" s="8">
        <f t="shared" si="54"/>
        <v>0</v>
      </c>
      <c r="R664" s="8">
        <f t="shared" si="55"/>
        <v>0</v>
      </c>
    </row>
    <row r="665" spans="1:18">
      <c r="A665" s="6"/>
      <c r="B665" t="str">
        <f t="shared" si="51"/>
        <v/>
      </c>
      <c r="C665" t="str">
        <f t="shared" si="52"/>
        <v/>
      </c>
      <c r="E665" t="str">
        <f>IFERROR(VLOOKUP(D665,Cadastro!$B$4:$H$100,2,FALSE),"")</f>
        <v/>
      </c>
      <c r="F665" t="str">
        <f>IFERROR(VLOOKUP(D665,Cadastro!$B$4:$H$100,3,FALSE),"")</f>
        <v/>
      </c>
      <c r="J665" s="7"/>
      <c r="K665" s="7"/>
      <c r="L665" s="7"/>
      <c r="M665" s="7"/>
      <c r="N665" s="7"/>
      <c r="O665" s="7"/>
      <c r="P665" s="8">
        <f t="shared" si="53"/>
        <v>0</v>
      </c>
      <c r="Q665" s="8">
        <f t="shared" si="54"/>
        <v>0</v>
      </c>
      <c r="R665" s="8">
        <f t="shared" si="55"/>
        <v>0</v>
      </c>
    </row>
    <row r="666" spans="1:18">
      <c r="A666" s="6"/>
      <c r="B666" t="str">
        <f t="shared" si="51"/>
        <v/>
      </c>
      <c r="C666" t="str">
        <f t="shared" si="52"/>
        <v/>
      </c>
      <c r="E666" t="str">
        <f>IFERROR(VLOOKUP(D666,Cadastro!$B$4:$H$100,2,FALSE),"")</f>
        <v/>
      </c>
      <c r="F666" t="str">
        <f>IFERROR(VLOOKUP(D666,Cadastro!$B$4:$H$100,3,FALSE),"")</f>
        <v/>
      </c>
      <c r="J666" s="7"/>
      <c r="K666" s="7"/>
      <c r="L666" s="7"/>
      <c r="M666" s="7"/>
      <c r="N666" s="7"/>
      <c r="O666" s="7"/>
      <c r="P666" s="8">
        <f t="shared" si="53"/>
        <v>0</v>
      </c>
      <c r="Q666" s="8">
        <f t="shared" si="54"/>
        <v>0</v>
      </c>
      <c r="R666" s="8">
        <f t="shared" si="55"/>
        <v>0</v>
      </c>
    </row>
    <row r="667" spans="1:18">
      <c r="A667" s="6"/>
      <c r="B667" t="str">
        <f t="shared" si="51"/>
        <v/>
      </c>
      <c r="C667" t="str">
        <f t="shared" si="52"/>
        <v/>
      </c>
      <c r="E667" t="str">
        <f>IFERROR(VLOOKUP(D667,Cadastro!$B$4:$H$100,2,FALSE),"")</f>
        <v/>
      </c>
      <c r="F667" t="str">
        <f>IFERROR(VLOOKUP(D667,Cadastro!$B$4:$H$100,3,FALSE),"")</f>
        <v/>
      </c>
      <c r="J667" s="7"/>
      <c r="K667" s="7"/>
      <c r="L667" s="7"/>
      <c r="M667" s="7"/>
      <c r="N667" s="7"/>
      <c r="O667" s="7"/>
      <c r="P667" s="8">
        <f t="shared" si="53"/>
        <v>0</v>
      </c>
      <c r="Q667" s="8">
        <f t="shared" si="54"/>
        <v>0</v>
      </c>
      <c r="R667" s="8">
        <f t="shared" si="55"/>
        <v>0</v>
      </c>
    </row>
    <row r="668" spans="1:18">
      <c r="A668" s="6"/>
      <c r="B668" t="str">
        <f t="shared" si="51"/>
        <v/>
      </c>
      <c r="C668" t="str">
        <f t="shared" si="52"/>
        <v/>
      </c>
      <c r="E668" t="str">
        <f>IFERROR(VLOOKUP(D668,Cadastro!$B$4:$H$100,2,FALSE),"")</f>
        <v/>
      </c>
      <c r="F668" t="str">
        <f>IFERROR(VLOOKUP(D668,Cadastro!$B$4:$H$100,3,FALSE),"")</f>
        <v/>
      </c>
      <c r="J668" s="7"/>
      <c r="K668" s="7"/>
      <c r="L668" s="7"/>
      <c r="M668" s="7"/>
      <c r="N668" s="7"/>
      <c r="O668" s="7"/>
      <c r="P668" s="8">
        <f t="shared" si="53"/>
        <v>0</v>
      </c>
      <c r="Q668" s="8">
        <f t="shared" si="54"/>
        <v>0</v>
      </c>
      <c r="R668" s="8">
        <f t="shared" si="55"/>
        <v>0</v>
      </c>
    </row>
    <row r="669" spans="1:18">
      <c r="A669" s="6"/>
      <c r="B669" t="str">
        <f t="shared" si="51"/>
        <v/>
      </c>
      <c r="C669" t="str">
        <f t="shared" si="52"/>
        <v/>
      </c>
      <c r="E669" t="str">
        <f>IFERROR(VLOOKUP(D669,Cadastro!$B$4:$H$100,2,FALSE),"")</f>
        <v/>
      </c>
      <c r="F669" t="str">
        <f>IFERROR(VLOOKUP(D669,Cadastro!$B$4:$H$100,3,FALSE),"")</f>
        <v/>
      </c>
      <c r="J669" s="7"/>
      <c r="K669" s="7"/>
      <c r="L669" s="7"/>
      <c r="M669" s="7"/>
      <c r="N669" s="7"/>
      <c r="O669" s="7"/>
      <c r="P669" s="8">
        <f t="shared" si="53"/>
        <v>0</v>
      </c>
      <c r="Q669" s="8">
        <f t="shared" si="54"/>
        <v>0</v>
      </c>
      <c r="R669" s="8">
        <f t="shared" si="55"/>
        <v>0</v>
      </c>
    </row>
    <row r="670" spans="1:18">
      <c r="A670" s="6"/>
      <c r="B670" t="str">
        <f t="shared" si="51"/>
        <v/>
      </c>
      <c r="C670" t="str">
        <f t="shared" si="52"/>
        <v/>
      </c>
      <c r="E670" t="str">
        <f>IFERROR(VLOOKUP(D670,Cadastro!$B$4:$H$100,2,FALSE),"")</f>
        <v/>
      </c>
      <c r="F670" t="str">
        <f>IFERROR(VLOOKUP(D670,Cadastro!$B$4:$H$100,3,FALSE),"")</f>
        <v/>
      </c>
      <c r="J670" s="7"/>
      <c r="K670" s="7"/>
      <c r="L670" s="7"/>
      <c r="M670" s="7"/>
      <c r="N670" s="7"/>
      <c r="O670" s="7"/>
      <c r="P670" s="8">
        <f t="shared" si="53"/>
        <v>0</v>
      </c>
      <c r="Q670" s="8">
        <f t="shared" si="54"/>
        <v>0</v>
      </c>
      <c r="R670" s="8">
        <f t="shared" si="55"/>
        <v>0</v>
      </c>
    </row>
    <row r="671" spans="1:18">
      <c r="A671" s="6"/>
      <c r="B671" t="str">
        <f t="shared" si="51"/>
        <v/>
      </c>
      <c r="C671" t="str">
        <f t="shared" si="52"/>
        <v/>
      </c>
      <c r="E671" t="str">
        <f>IFERROR(VLOOKUP(D671,Cadastro!$B$4:$H$100,2,FALSE),"")</f>
        <v/>
      </c>
      <c r="F671" t="str">
        <f>IFERROR(VLOOKUP(D671,Cadastro!$B$4:$H$100,3,FALSE),"")</f>
        <v/>
      </c>
      <c r="J671" s="7"/>
      <c r="K671" s="7"/>
      <c r="L671" s="7"/>
      <c r="M671" s="7"/>
      <c r="N671" s="7"/>
      <c r="O671" s="7"/>
      <c r="P671" s="8">
        <f t="shared" si="53"/>
        <v>0</v>
      </c>
      <c r="Q671" s="8">
        <f t="shared" si="54"/>
        <v>0</v>
      </c>
      <c r="R671" s="8">
        <f t="shared" si="55"/>
        <v>0</v>
      </c>
    </row>
    <row r="672" spans="1:18">
      <c r="A672" s="6"/>
      <c r="B672" t="str">
        <f t="shared" si="51"/>
        <v/>
      </c>
      <c r="C672" t="str">
        <f t="shared" si="52"/>
        <v/>
      </c>
      <c r="E672" t="str">
        <f>IFERROR(VLOOKUP(D672,Cadastro!$B$4:$H$100,2,FALSE),"")</f>
        <v/>
      </c>
      <c r="F672" t="str">
        <f>IFERROR(VLOOKUP(D672,Cadastro!$B$4:$H$100,3,FALSE),"")</f>
        <v/>
      </c>
      <c r="J672" s="7"/>
      <c r="K672" s="7"/>
      <c r="L672" s="7"/>
      <c r="M672" s="7"/>
      <c r="N672" s="7"/>
      <c r="O672" s="7"/>
      <c r="P672" s="8">
        <f t="shared" si="53"/>
        <v>0</v>
      </c>
      <c r="Q672" s="8">
        <f t="shared" si="54"/>
        <v>0</v>
      </c>
      <c r="R672" s="8">
        <f t="shared" si="55"/>
        <v>0</v>
      </c>
    </row>
    <row r="673" spans="1:18">
      <c r="A673" s="6"/>
      <c r="B673" t="str">
        <f t="shared" si="51"/>
        <v/>
      </c>
      <c r="C673" t="str">
        <f t="shared" si="52"/>
        <v/>
      </c>
      <c r="E673" t="str">
        <f>IFERROR(VLOOKUP(D673,Cadastro!$B$4:$H$100,2,FALSE),"")</f>
        <v/>
      </c>
      <c r="F673" t="str">
        <f>IFERROR(VLOOKUP(D673,Cadastro!$B$4:$H$100,3,FALSE),"")</f>
        <v/>
      </c>
      <c r="J673" s="7"/>
      <c r="K673" s="7"/>
      <c r="L673" s="7"/>
      <c r="M673" s="7"/>
      <c r="N673" s="7"/>
      <c r="O673" s="7"/>
      <c r="P673" s="8">
        <f t="shared" si="53"/>
        <v>0</v>
      </c>
      <c r="Q673" s="8">
        <f t="shared" si="54"/>
        <v>0</v>
      </c>
      <c r="R673" s="8">
        <f t="shared" si="55"/>
        <v>0</v>
      </c>
    </row>
    <row r="674" spans="1:18">
      <c r="A674" s="6"/>
      <c r="B674" t="str">
        <f t="shared" si="51"/>
        <v/>
      </c>
      <c r="C674" t="str">
        <f t="shared" si="52"/>
        <v/>
      </c>
      <c r="E674" t="str">
        <f>IFERROR(VLOOKUP(D674,Cadastro!$B$4:$H$100,2,FALSE),"")</f>
        <v/>
      </c>
      <c r="F674" t="str">
        <f>IFERROR(VLOOKUP(D674,Cadastro!$B$4:$H$100,3,FALSE),"")</f>
        <v/>
      </c>
      <c r="J674" s="7"/>
      <c r="K674" s="7"/>
      <c r="L674" s="7"/>
      <c r="M674" s="7"/>
      <c r="N674" s="7"/>
      <c r="O674" s="7"/>
      <c r="P674" s="8">
        <f t="shared" si="53"/>
        <v>0</v>
      </c>
      <c r="Q674" s="8">
        <f t="shared" si="54"/>
        <v>0</v>
      </c>
      <c r="R674" s="8">
        <f t="shared" si="55"/>
        <v>0</v>
      </c>
    </row>
    <row r="675" spans="1:18">
      <c r="A675" s="6"/>
      <c r="B675" t="str">
        <f t="shared" si="51"/>
        <v/>
      </c>
      <c r="C675" t="str">
        <f t="shared" si="52"/>
        <v/>
      </c>
      <c r="E675" t="str">
        <f>IFERROR(VLOOKUP(D675,Cadastro!$B$4:$H$100,2,FALSE),"")</f>
        <v/>
      </c>
      <c r="F675" t="str">
        <f>IFERROR(VLOOKUP(D675,Cadastro!$B$4:$H$100,3,FALSE),"")</f>
        <v/>
      </c>
      <c r="J675" s="7"/>
      <c r="K675" s="7"/>
      <c r="L675" s="7"/>
      <c r="M675" s="7"/>
      <c r="N675" s="7"/>
      <c r="O675" s="7"/>
      <c r="P675" s="8">
        <f t="shared" si="53"/>
        <v>0</v>
      </c>
      <c r="Q675" s="8">
        <f t="shared" si="54"/>
        <v>0</v>
      </c>
      <c r="R675" s="8">
        <f t="shared" si="55"/>
        <v>0</v>
      </c>
    </row>
    <row r="676" spans="1:18">
      <c r="A676" s="6"/>
      <c r="B676" t="str">
        <f t="shared" si="51"/>
        <v/>
      </c>
      <c r="C676" t="str">
        <f t="shared" si="52"/>
        <v/>
      </c>
      <c r="E676" t="str">
        <f>IFERROR(VLOOKUP(D676,Cadastro!$B$4:$H$100,2,FALSE),"")</f>
        <v/>
      </c>
      <c r="F676" t="str">
        <f>IFERROR(VLOOKUP(D676,Cadastro!$B$4:$H$100,3,FALSE),"")</f>
        <v/>
      </c>
      <c r="J676" s="7"/>
      <c r="K676" s="7"/>
      <c r="L676" s="7"/>
      <c r="M676" s="7"/>
      <c r="N676" s="7"/>
      <c r="O676" s="7"/>
      <c r="P676" s="8">
        <f t="shared" si="53"/>
        <v>0</v>
      </c>
      <c r="Q676" s="8">
        <f t="shared" si="54"/>
        <v>0</v>
      </c>
      <c r="R676" s="8">
        <f t="shared" si="55"/>
        <v>0</v>
      </c>
    </row>
    <row r="677" spans="1:18">
      <c r="A677" s="6"/>
      <c r="B677" t="str">
        <f t="shared" si="51"/>
        <v/>
      </c>
      <c r="C677" t="str">
        <f t="shared" si="52"/>
        <v/>
      </c>
      <c r="E677" t="str">
        <f>IFERROR(VLOOKUP(D677,Cadastro!$B$4:$H$100,2,FALSE),"")</f>
        <v/>
      </c>
      <c r="F677" t="str">
        <f>IFERROR(VLOOKUP(D677,Cadastro!$B$4:$H$100,3,FALSE),"")</f>
        <v/>
      </c>
      <c r="J677" s="7"/>
      <c r="K677" s="7"/>
      <c r="L677" s="7"/>
      <c r="M677" s="7"/>
      <c r="N677" s="7"/>
      <c r="O677" s="7"/>
      <c r="P677" s="8">
        <f t="shared" si="53"/>
        <v>0</v>
      </c>
      <c r="Q677" s="8">
        <f t="shared" si="54"/>
        <v>0</v>
      </c>
      <c r="R677" s="8">
        <f t="shared" si="55"/>
        <v>0</v>
      </c>
    </row>
    <row r="678" spans="1:18">
      <c r="A678" s="6"/>
      <c r="B678" t="str">
        <f t="shared" si="51"/>
        <v/>
      </c>
      <c r="C678" t="str">
        <f t="shared" si="52"/>
        <v/>
      </c>
      <c r="E678" t="str">
        <f>IFERROR(VLOOKUP(D678,Cadastro!$B$4:$H$100,2,FALSE),"")</f>
        <v/>
      </c>
      <c r="F678" t="str">
        <f>IFERROR(VLOOKUP(D678,Cadastro!$B$4:$H$100,3,FALSE),"")</f>
        <v/>
      </c>
      <c r="J678" s="7"/>
      <c r="K678" s="7"/>
      <c r="L678" s="7"/>
      <c r="M678" s="7"/>
      <c r="N678" s="7"/>
      <c r="O678" s="7"/>
      <c r="P678" s="8">
        <f t="shared" si="53"/>
        <v>0</v>
      </c>
      <c r="Q678" s="8">
        <f t="shared" si="54"/>
        <v>0</v>
      </c>
      <c r="R678" s="8">
        <f t="shared" si="55"/>
        <v>0</v>
      </c>
    </row>
    <row r="679" spans="1:18">
      <c r="A679" s="6"/>
      <c r="B679" t="str">
        <f t="shared" si="51"/>
        <v/>
      </c>
      <c r="C679" t="str">
        <f t="shared" si="52"/>
        <v/>
      </c>
      <c r="E679" t="str">
        <f>IFERROR(VLOOKUP(D679,Cadastro!$B$4:$H$100,2,FALSE),"")</f>
        <v/>
      </c>
      <c r="F679" t="str">
        <f>IFERROR(VLOOKUP(D679,Cadastro!$B$4:$H$100,3,FALSE),"")</f>
        <v/>
      </c>
      <c r="J679" s="7"/>
      <c r="K679" s="7"/>
      <c r="L679" s="7"/>
      <c r="M679" s="7"/>
      <c r="N679" s="7"/>
      <c r="O679" s="7"/>
      <c r="P679" s="8">
        <f t="shared" si="53"/>
        <v>0</v>
      </c>
      <c r="Q679" s="8">
        <f t="shared" si="54"/>
        <v>0</v>
      </c>
      <c r="R679" s="8">
        <f t="shared" si="55"/>
        <v>0</v>
      </c>
    </row>
    <row r="680" spans="1:18">
      <c r="A680" s="6"/>
      <c r="B680" t="str">
        <f t="shared" si="51"/>
        <v/>
      </c>
      <c r="C680" t="str">
        <f t="shared" si="52"/>
        <v/>
      </c>
      <c r="E680" t="str">
        <f>IFERROR(VLOOKUP(D680,Cadastro!$B$4:$H$100,2,FALSE),"")</f>
        <v/>
      </c>
      <c r="F680" t="str">
        <f>IFERROR(VLOOKUP(D680,Cadastro!$B$4:$H$100,3,FALSE),"")</f>
        <v/>
      </c>
      <c r="J680" s="7"/>
      <c r="K680" s="7"/>
      <c r="L680" s="7"/>
      <c r="M680" s="7"/>
      <c r="N680" s="7"/>
      <c r="O680" s="7"/>
      <c r="P680" s="8">
        <f t="shared" si="53"/>
        <v>0</v>
      </c>
      <c r="Q680" s="8">
        <f t="shared" si="54"/>
        <v>0</v>
      </c>
      <c r="R680" s="8">
        <f t="shared" si="55"/>
        <v>0</v>
      </c>
    </row>
    <row r="681" spans="1:18">
      <c r="A681" s="6"/>
      <c r="B681" t="str">
        <f t="shared" si="51"/>
        <v/>
      </c>
      <c r="C681" t="str">
        <f t="shared" si="52"/>
        <v/>
      </c>
      <c r="E681" t="str">
        <f>IFERROR(VLOOKUP(D681,Cadastro!$B$4:$H$100,2,FALSE),"")</f>
        <v/>
      </c>
      <c r="F681" t="str">
        <f>IFERROR(VLOOKUP(D681,Cadastro!$B$4:$H$100,3,FALSE),"")</f>
        <v/>
      </c>
      <c r="J681" s="7"/>
      <c r="K681" s="7"/>
      <c r="L681" s="7"/>
      <c r="M681" s="7"/>
      <c r="N681" s="7"/>
      <c r="O681" s="7"/>
      <c r="P681" s="8">
        <f t="shared" si="53"/>
        <v>0</v>
      </c>
      <c r="Q681" s="8">
        <f t="shared" si="54"/>
        <v>0</v>
      </c>
      <c r="R681" s="8">
        <f t="shared" si="55"/>
        <v>0</v>
      </c>
    </row>
    <row r="682" spans="1:18">
      <c r="A682" s="6"/>
      <c r="B682" t="str">
        <f t="shared" si="51"/>
        <v/>
      </c>
      <c r="C682" t="str">
        <f t="shared" si="52"/>
        <v/>
      </c>
      <c r="E682" t="str">
        <f>IFERROR(VLOOKUP(D682,Cadastro!$B$4:$H$100,2,FALSE),"")</f>
        <v/>
      </c>
      <c r="F682" t="str">
        <f>IFERROR(VLOOKUP(D682,Cadastro!$B$4:$H$100,3,FALSE),"")</f>
        <v/>
      </c>
      <c r="J682" s="7"/>
      <c r="K682" s="7"/>
      <c r="L682" s="7"/>
      <c r="M682" s="7"/>
      <c r="N682" s="7"/>
      <c r="O682" s="7"/>
      <c r="P682" s="8">
        <f t="shared" si="53"/>
        <v>0</v>
      </c>
      <c r="Q682" s="8">
        <f t="shared" si="54"/>
        <v>0</v>
      </c>
      <c r="R682" s="8">
        <f t="shared" si="55"/>
        <v>0</v>
      </c>
    </row>
    <row r="683" spans="1:18">
      <c r="A683" s="6"/>
      <c r="B683" t="str">
        <f t="shared" si="51"/>
        <v/>
      </c>
      <c r="C683" t="str">
        <f t="shared" si="52"/>
        <v/>
      </c>
      <c r="E683" t="str">
        <f>IFERROR(VLOOKUP(D683,Cadastro!$B$4:$H$100,2,FALSE),"")</f>
        <v/>
      </c>
      <c r="F683" t="str">
        <f>IFERROR(VLOOKUP(D683,Cadastro!$B$4:$H$100,3,FALSE),"")</f>
        <v/>
      </c>
      <c r="J683" s="7"/>
      <c r="K683" s="7"/>
      <c r="L683" s="7"/>
      <c r="M683" s="7"/>
      <c r="N683" s="7"/>
      <c r="O683" s="7"/>
      <c r="P683" s="8">
        <f t="shared" si="53"/>
        <v>0</v>
      </c>
      <c r="Q683" s="8">
        <f t="shared" si="54"/>
        <v>0</v>
      </c>
      <c r="R683" s="8">
        <f t="shared" si="55"/>
        <v>0</v>
      </c>
    </row>
    <row r="684" spans="1:18">
      <c r="A684" s="6"/>
      <c r="B684" t="str">
        <f t="shared" si="51"/>
        <v/>
      </c>
      <c r="C684" t="str">
        <f t="shared" si="52"/>
        <v/>
      </c>
      <c r="E684" t="str">
        <f>IFERROR(VLOOKUP(D684,Cadastro!$B$4:$H$100,2,FALSE),"")</f>
        <v/>
      </c>
      <c r="F684" t="str">
        <f>IFERROR(VLOOKUP(D684,Cadastro!$B$4:$H$100,3,FALSE),"")</f>
        <v/>
      </c>
      <c r="J684" s="7"/>
      <c r="K684" s="7"/>
      <c r="L684" s="7"/>
      <c r="M684" s="7"/>
      <c r="N684" s="7"/>
      <c r="O684" s="7"/>
      <c r="P684" s="8">
        <f t="shared" si="53"/>
        <v>0</v>
      </c>
      <c r="Q684" s="8">
        <f t="shared" si="54"/>
        <v>0</v>
      </c>
      <c r="R684" s="8">
        <f t="shared" si="55"/>
        <v>0</v>
      </c>
    </row>
    <row r="685" spans="1:18">
      <c r="A685" s="6"/>
      <c r="B685" t="str">
        <f t="shared" si="51"/>
        <v/>
      </c>
      <c r="C685" t="str">
        <f t="shared" si="52"/>
        <v/>
      </c>
      <c r="E685" t="str">
        <f>IFERROR(VLOOKUP(D685,Cadastro!$B$4:$H$100,2,FALSE),"")</f>
        <v/>
      </c>
      <c r="F685" t="str">
        <f>IFERROR(VLOOKUP(D685,Cadastro!$B$4:$H$100,3,FALSE),"")</f>
        <v/>
      </c>
      <c r="J685" s="7"/>
      <c r="K685" s="7"/>
      <c r="L685" s="7"/>
      <c r="M685" s="7"/>
      <c r="N685" s="7"/>
      <c r="O685" s="7"/>
      <c r="P685" s="8">
        <f t="shared" si="53"/>
        <v>0</v>
      </c>
      <c r="Q685" s="8">
        <f t="shared" si="54"/>
        <v>0</v>
      </c>
      <c r="R685" s="8">
        <f t="shared" si="55"/>
        <v>0</v>
      </c>
    </row>
    <row r="686" spans="1:18">
      <c r="A686" s="6"/>
      <c r="B686" t="str">
        <f t="shared" si="51"/>
        <v/>
      </c>
      <c r="C686" t="str">
        <f t="shared" si="52"/>
        <v/>
      </c>
      <c r="E686" t="str">
        <f>IFERROR(VLOOKUP(D686,Cadastro!$B$4:$H$100,2,FALSE),"")</f>
        <v/>
      </c>
      <c r="F686" t="str">
        <f>IFERROR(VLOOKUP(D686,Cadastro!$B$4:$H$100,3,FALSE),"")</f>
        <v/>
      </c>
      <c r="J686" s="7"/>
      <c r="K686" s="7"/>
      <c r="L686" s="7"/>
      <c r="M686" s="7"/>
      <c r="N686" s="7"/>
      <c r="O686" s="7"/>
      <c r="P686" s="8">
        <f t="shared" si="53"/>
        <v>0</v>
      </c>
      <c r="Q686" s="8">
        <f t="shared" si="54"/>
        <v>0</v>
      </c>
      <c r="R686" s="8">
        <f t="shared" si="55"/>
        <v>0</v>
      </c>
    </row>
    <row r="687" spans="1:18">
      <c r="A687" s="6"/>
      <c r="B687" t="str">
        <f t="shared" si="51"/>
        <v/>
      </c>
      <c r="C687" t="str">
        <f t="shared" si="52"/>
        <v/>
      </c>
      <c r="E687" t="str">
        <f>IFERROR(VLOOKUP(D687,Cadastro!$B$4:$H$100,2,FALSE),"")</f>
        <v/>
      </c>
      <c r="F687" t="str">
        <f>IFERROR(VLOOKUP(D687,Cadastro!$B$4:$H$100,3,FALSE),"")</f>
        <v/>
      </c>
      <c r="J687" s="7"/>
      <c r="K687" s="7"/>
      <c r="L687" s="7"/>
      <c r="M687" s="7"/>
      <c r="N687" s="7"/>
      <c r="O687" s="7"/>
      <c r="P687" s="8">
        <f t="shared" si="53"/>
        <v>0</v>
      </c>
      <c r="Q687" s="8">
        <f t="shared" si="54"/>
        <v>0</v>
      </c>
      <c r="R687" s="8">
        <f t="shared" si="55"/>
        <v>0</v>
      </c>
    </row>
    <row r="688" spans="1:18">
      <c r="A688" s="6"/>
      <c r="B688" t="str">
        <f t="shared" si="51"/>
        <v/>
      </c>
      <c r="C688" t="str">
        <f t="shared" si="52"/>
        <v/>
      </c>
      <c r="E688" t="str">
        <f>IFERROR(VLOOKUP(D688,Cadastro!$B$4:$H$100,2,FALSE),"")</f>
        <v/>
      </c>
      <c r="F688" t="str">
        <f>IFERROR(VLOOKUP(D688,Cadastro!$B$4:$H$100,3,FALSE),"")</f>
        <v/>
      </c>
      <c r="J688" s="7"/>
      <c r="K688" s="7"/>
      <c r="L688" s="7"/>
      <c r="M688" s="7"/>
      <c r="N688" s="7"/>
      <c r="O688" s="7"/>
      <c r="P688" s="8">
        <f t="shared" si="53"/>
        <v>0</v>
      </c>
      <c r="Q688" s="8">
        <f t="shared" si="54"/>
        <v>0</v>
      </c>
      <c r="R688" s="8">
        <f t="shared" si="55"/>
        <v>0</v>
      </c>
    </row>
    <row r="689" spans="1:18">
      <c r="A689" s="6"/>
      <c r="B689" t="str">
        <f t="shared" si="51"/>
        <v/>
      </c>
      <c r="C689" t="str">
        <f t="shared" si="52"/>
        <v/>
      </c>
      <c r="E689" t="str">
        <f>IFERROR(VLOOKUP(D689,Cadastro!$B$4:$H$100,2,FALSE),"")</f>
        <v/>
      </c>
      <c r="F689" t="str">
        <f>IFERROR(VLOOKUP(D689,Cadastro!$B$4:$H$100,3,FALSE),"")</f>
        <v/>
      </c>
      <c r="J689" s="7"/>
      <c r="K689" s="7"/>
      <c r="L689" s="7"/>
      <c r="M689" s="7"/>
      <c r="N689" s="7"/>
      <c r="O689" s="7"/>
      <c r="P689" s="8">
        <f t="shared" si="53"/>
        <v>0</v>
      </c>
      <c r="Q689" s="8">
        <f t="shared" si="54"/>
        <v>0</v>
      </c>
      <c r="R689" s="8">
        <f t="shared" si="55"/>
        <v>0</v>
      </c>
    </row>
    <row r="690" spans="1:18">
      <c r="A690" s="6"/>
      <c r="B690" t="str">
        <f t="shared" si="51"/>
        <v/>
      </c>
      <c r="C690" t="str">
        <f t="shared" si="52"/>
        <v/>
      </c>
      <c r="E690" t="str">
        <f>IFERROR(VLOOKUP(D690,Cadastro!$B$4:$H$100,2,FALSE),"")</f>
        <v/>
      </c>
      <c r="F690" t="str">
        <f>IFERROR(VLOOKUP(D690,Cadastro!$B$4:$H$100,3,FALSE),"")</f>
        <v/>
      </c>
      <c r="J690" s="7"/>
      <c r="K690" s="7"/>
      <c r="L690" s="7"/>
      <c r="M690" s="7"/>
      <c r="N690" s="7"/>
      <c r="O690" s="7"/>
      <c r="P690" s="8">
        <f t="shared" si="53"/>
        <v>0</v>
      </c>
      <c r="Q690" s="8">
        <f t="shared" si="54"/>
        <v>0</v>
      </c>
      <c r="R690" s="8">
        <f t="shared" si="55"/>
        <v>0</v>
      </c>
    </row>
    <row r="691" spans="1:18">
      <c r="A691" s="6"/>
      <c r="B691" t="str">
        <f t="shared" si="51"/>
        <v/>
      </c>
      <c r="C691" t="str">
        <f t="shared" si="52"/>
        <v/>
      </c>
      <c r="E691" t="str">
        <f>IFERROR(VLOOKUP(D691,Cadastro!$B$4:$H$100,2,FALSE),"")</f>
        <v/>
      </c>
      <c r="F691" t="str">
        <f>IFERROR(VLOOKUP(D691,Cadastro!$B$4:$H$100,3,FALSE),"")</f>
        <v/>
      </c>
      <c r="J691" s="7"/>
      <c r="K691" s="7"/>
      <c r="L691" s="7"/>
      <c r="M691" s="7"/>
      <c r="N691" s="7"/>
      <c r="O691" s="7"/>
      <c r="P691" s="8">
        <f t="shared" si="53"/>
        <v>0</v>
      </c>
      <c r="Q691" s="8">
        <f t="shared" si="54"/>
        <v>0</v>
      </c>
      <c r="R691" s="8">
        <f t="shared" si="55"/>
        <v>0</v>
      </c>
    </row>
    <row r="692" spans="1:18">
      <c r="A692" s="6"/>
      <c r="B692" t="str">
        <f t="shared" si="51"/>
        <v/>
      </c>
      <c r="C692" t="str">
        <f t="shared" si="52"/>
        <v/>
      </c>
      <c r="E692" t="str">
        <f>IFERROR(VLOOKUP(D692,Cadastro!$B$4:$H$100,2,FALSE),"")</f>
        <v/>
      </c>
      <c r="F692" t="str">
        <f>IFERROR(VLOOKUP(D692,Cadastro!$B$4:$H$100,3,FALSE),"")</f>
        <v/>
      </c>
      <c r="J692" s="7"/>
      <c r="K692" s="7"/>
      <c r="L692" s="7"/>
      <c r="M692" s="7"/>
      <c r="N692" s="7"/>
      <c r="O692" s="7"/>
      <c r="P692" s="8">
        <f t="shared" si="53"/>
        <v>0</v>
      </c>
      <c r="Q692" s="8">
        <f t="shared" si="54"/>
        <v>0</v>
      </c>
      <c r="R692" s="8">
        <f t="shared" si="55"/>
        <v>0</v>
      </c>
    </row>
    <row r="693" spans="1:18">
      <c r="A693" s="6"/>
      <c r="B693" t="str">
        <f t="shared" si="51"/>
        <v/>
      </c>
      <c r="C693" t="str">
        <f t="shared" si="52"/>
        <v/>
      </c>
      <c r="E693" t="str">
        <f>IFERROR(VLOOKUP(D693,Cadastro!$B$4:$H$100,2,FALSE),"")</f>
        <v/>
      </c>
      <c r="F693" t="str">
        <f>IFERROR(VLOOKUP(D693,Cadastro!$B$4:$H$100,3,FALSE),"")</f>
        <v/>
      </c>
      <c r="J693" s="7"/>
      <c r="K693" s="7"/>
      <c r="L693" s="7"/>
      <c r="M693" s="7"/>
      <c r="N693" s="7"/>
      <c r="O693" s="7"/>
      <c r="P693" s="8">
        <f t="shared" si="53"/>
        <v>0</v>
      </c>
      <c r="Q693" s="8">
        <f t="shared" si="54"/>
        <v>0</v>
      </c>
      <c r="R693" s="8">
        <f t="shared" si="55"/>
        <v>0</v>
      </c>
    </row>
    <row r="694" spans="1:18">
      <c r="A694" s="6"/>
      <c r="B694" t="str">
        <f t="shared" si="51"/>
        <v/>
      </c>
      <c r="C694" t="str">
        <f t="shared" si="52"/>
        <v/>
      </c>
      <c r="E694" t="str">
        <f>IFERROR(VLOOKUP(D694,Cadastro!$B$4:$H$100,2,FALSE),"")</f>
        <v/>
      </c>
      <c r="F694" t="str">
        <f>IFERROR(VLOOKUP(D694,Cadastro!$B$4:$H$100,3,FALSE),"")</f>
        <v/>
      </c>
      <c r="J694" s="7"/>
      <c r="K694" s="7"/>
      <c r="L694" s="7"/>
      <c r="M694" s="7"/>
      <c r="N694" s="7"/>
      <c r="O694" s="7"/>
      <c r="P694" s="8">
        <f t="shared" si="53"/>
        <v>0</v>
      </c>
      <c r="Q694" s="8">
        <f t="shared" si="54"/>
        <v>0</v>
      </c>
      <c r="R694" s="8">
        <f t="shared" si="55"/>
        <v>0</v>
      </c>
    </row>
    <row r="695" spans="1:18">
      <c r="A695" s="6"/>
      <c r="B695" t="str">
        <f t="shared" si="51"/>
        <v/>
      </c>
      <c r="C695" t="str">
        <f t="shared" si="52"/>
        <v/>
      </c>
      <c r="E695" t="str">
        <f>IFERROR(VLOOKUP(D695,Cadastro!$B$4:$H$100,2,FALSE),"")</f>
        <v/>
      </c>
      <c r="F695" t="str">
        <f>IFERROR(VLOOKUP(D695,Cadastro!$B$4:$H$100,3,FALSE),"")</f>
        <v/>
      </c>
      <c r="J695" s="7"/>
      <c r="K695" s="7"/>
      <c r="L695" s="7"/>
      <c r="M695" s="7"/>
      <c r="N695" s="7"/>
      <c r="O695" s="7"/>
      <c r="P695" s="8">
        <f t="shared" si="53"/>
        <v>0</v>
      </c>
      <c r="Q695" s="8">
        <f t="shared" si="54"/>
        <v>0</v>
      </c>
      <c r="R695" s="8">
        <f t="shared" si="55"/>
        <v>0</v>
      </c>
    </row>
    <row r="696" spans="1:18">
      <c r="A696" s="6"/>
      <c r="B696" t="str">
        <f t="shared" si="51"/>
        <v/>
      </c>
      <c r="C696" t="str">
        <f t="shared" si="52"/>
        <v/>
      </c>
      <c r="E696" t="str">
        <f>IFERROR(VLOOKUP(D696,Cadastro!$B$4:$H$100,2,FALSE),"")</f>
        <v/>
      </c>
      <c r="F696" t="str">
        <f>IFERROR(VLOOKUP(D696,Cadastro!$B$4:$H$100,3,FALSE),"")</f>
        <v/>
      </c>
      <c r="J696" s="7"/>
      <c r="K696" s="7"/>
      <c r="L696" s="7"/>
      <c r="M696" s="7"/>
      <c r="N696" s="7"/>
      <c r="O696" s="7"/>
      <c r="P696" s="8">
        <f t="shared" si="53"/>
        <v>0</v>
      </c>
      <c r="Q696" s="8">
        <f t="shared" si="54"/>
        <v>0</v>
      </c>
      <c r="R696" s="8">
        <f t="shared" si="55"/>
        <v>0</v>
      </c>
    </row>
    <row r="697" spans="1:18">
      <c r="A697" s="6"/>
      <c r="B697" t="str">
        <f t="shared" si="51"/>
        <v/>
      </c>
      <c r="C697" t="str">
        <f t="shared" si="52"/>
        <v/>
      </c>
      <c r="E697" t="str">
        <f>IFERROR(VLOOKUP(D697,Cadastro!$B$4:$H$100,2,FALSE),"")</f>
        <v/>
      </c>
      <c r="F697" t="str">
        <f>IFERROR(VLOOKUP(D697,Cadastro!$B$4:$H$100,3,FALSE),"")</f>
        <v/>
      </c>
      <c r="J697" s="7"/>
      <c r="K697" s="7"/>
      <c r="L697" s="7"/>
      <c r="M697" s="7"/>
      <c r="N697" s="7"/>
      <c r="O697" s="7"/>
      <c r="P697" s="8">
        <f t="shared" si="53"/>
        <v>0</v>
      </c>
      <c r="Q697" s="8">
        <f t="shared" si="54"/>
        <v>0</v>
      </c>
      <c r="R697" s="8">
        <f t="shared" si="55"/>
        <v>0</v>
      </c>
    </row>
    <row r="698" spans="1:18">
      <c r="A698" s="6"/>
      <c r="B698" t="str">
        <f t="shared" si="51"/>
        <v/>
      </c>
      <c r="C698" t="str">
        <f t="shared" si="52"/>
        <v/>
      </c>
      <c r="E698" t="str">
        <f>IFERROR(VLOOKUP(D698,Cadastro!$B$4:$H$100,2,FALSE),"")</f>
        <v/>
      </c>
      <c r="F698" t="str">
        <f>IFERROR(VLOOKUP(D698,Cadastro!$B$4:$H$100,3,FALSE),"")</f>
        <v/>
      </c>
      <c r="J698" s="7"/>
      <c r="K698" s="7"/>
      <c r="L698" s="7"/>
      <c r="M698" s="7"/>
      <c r="N698" s="7"/>
      <c r="O698" s="7"/>
      <c r="P698" s="8">
        <f t="shared" si="53"/>
        <v>0</v>
      </c>
      <c r="Q698" s="8">
        <f t="shared" si="54"/>
        <v>0</v>
      </c>
      <c r="R698" s="8">
        <f t="shared" si="55"/>
        <v>0</v>
      </c>
    </row>
    <row r="699" spans="1:18">
      <c r="A699" s="6"/>
      <c r="B699" t="str">
        <f t="shared" si="51"/>
        <v/>
      </c>
      <c r="C699" t="str">
        <f t="shared" si="52"/>
        <v/>
      </c>
      <c r="E699" t="str">
        <f>IFERROR(VLOOKUP(D699,Cadastro!$B$4:$H$100,2,FALSE),"")</f>
        <v/>
      </c>
      <c r="F699" t="str">
        <f>IFERROR(VLOOKUP(D699,Cadastro!$B$4:$H$100,3,FALSE),"")</f>
        <v/>
      </c>
      <c r="J699" s="7"/>
      <c r="K699" s="7"/>
      <c r="L699" s="7"/>
      <c r="M699" s="7"/>
      <c r="N699" s="7"/>
      <c r="O699" s="7"/>
      <c r="P699" s="8">
        <f t="shared" si="53"/>
        <v>0</v>
      </c>
      <c r="Q699" s="8">
        <f t="shared" si="54"/>
        <v>0</v>
      </c>
      <c r="R699" s="8">
        <f t="shared" si="55"/>
        <v>0</v>
      </c>
    </row>
    <row r="700" spans="1:18">
      <c r="A700" s="6"/>
      <c r="B700" t="str">
        <f t="shared" si="51"/>
        <v/>
      </c>
      <c r="C700" t="str">
        <f t="shared" si="52"/>
        <v/>
      </c>
      <c r="E700" t="str">
        <f>IFERROR(VLOOKUP(D700,Cadastro!$B$4:$H$100,2,FALSE),"")</f>
        <v/>
      </c>
      <c r="F700" t="str">
        <f>IFERROR(VLOOKUP(D700,Cadastro!$B$4:$H$100,3,FALSE),"")</f>
        <v/>
      </c>
      <c r="J700" s="7"/>
      <c r="K700" s="7"/>
      <c r="L700" s="7"/>
      <c r="M700" s="7"/>
      <c r="N700" s="7"/>
      <c r="O700" s="7"/>
      <c r="P700" s="8">
        <f t="shared" si="53"/>
        <v>0</v>
      </c>
      <c r="Q700" s="8">
        <f t="shared" si="54"/>
        <v>0</v>
      </c>
      <c r="R700" s="8">
        <f t="shared" si="55"/>
        <v>0</v>
      </c>
    </row>
    <row r="701" spans="1:18">
      <c r="A701" s="6"/>
      <c r="B701" t="str">
        <f t="shared" si="51"/>
        <v/>
      </c>
      <c r="C701" t="str">
        <f t="shared" si="52"/>
        <v/>
      </c>
      <c r="E701" t="str">
        <f>IFERROR(VLOOKUP(D701,Cadastro!$B$4:$H$100,2,FALSE),"")</f>
        <v/>
      </c>
      <c r="F701" t="str">
        <f>IFERROR(VLOOKUP(D701,Cadastro!$B$4:$H$100,3,FALSE),"")</f>
        <v/>
      </c>
      <c r="J701" s="7"/>
      <c r="K701" s="7"/>
      <c r="L701" s="7"/>
      <c r="M701" s="7"/>
      <c r="N701" s="7"/>
      <c r="O701" s="7"/>
      <c r="P701" s="8">
        <f t="shared" si="53"/>
        <v>0</v>
      </c>
      <c r="Q701" s="8">
        <f t="shared" si="54"/>
        <v>0</v>
      </c>
      <c r="R701" s="8">
        <f t="shared" si="55"/>
        <v>0</v>
      </c>
    </row>
    <row r="702" spans="1:18">
      <c r="A702" s="6"/>
      <c r="B702" t="str">
        <f t="shared" si="51"/>
        <v/>
      </c>
      <c r="C702" t="str">
        <f t="shared" si="52"/>
        <v/>
      </c>
      <c r="E702" t="str">
        <f>IFERROR(VLOOKUP(D702,Cadastro!$B$4:$H$100,2,FALSE),"")</f>
        <v/>
      </c>
      <c r="F702" t="str">
        <f>IFERROR(VLOOKUP(D702,Cadastro!$B$4:$H$100,3,FALSE),"")</f>
        <v/>
      </c>
      <c r="J702" s="7"/>
      <c r="K702" s="7"/>
      <c r="L702" s="7"/>
      <c r="M702" s="7"/>
      <c r="N702" s="7"/>
      <c r="O702" s="7"/>
      <c r="P702" s="8">
        <f t="shared" si="53"/>
        <v>0</v>
      </c>
      <c r="Q702" s="8">
        <f t="shared" si="54"/>
        <v>0</v>
      </c>
      <c r="R702" s="8">
        <f t="shared" si="55"/>
        <v>0</v>
      </c>
    </row>
    <row r="703" spans="1:18">
      <c r="A703" s="6"/>
      <c r="B703" t="str">
        <f t="shared" si="51"/>
        <v/>
      </c>
      <c r="C703" t="str">
        <f t="shared" si="52"/>
        <v/>
      </c>
      <c r="E703" t="str">
        <f>IFERROR(VLOOKUP(D703,Cadastro!$B$4:$H$100,2,FALSE),"")</f>
        <v/>
      </c>
      <c r="F703" t="str">
        <f>IFERROR(VLOOKUP(D703,Cadastro!$B$4:$H$100,3,FALSE),"")</f>
        <v/>
      </c>
      <c r="J703" s="7"/>
      <c r="K703" s="7"/>
      <c r="L703" s="7"/>
      <c r="M703" s="7"/>
      <c r="N703" s="7"/>
      <c r="O703" s="7"/>
      <c r="P703" s="8">
        <f t="shared" si="53"/>
        <v>0</v>
      </c>
      <c r="Q703" s="8">
        <f t="shared" si="54"/>
        <v>0</v>
      </c>
      <c r="R703" s="8">
        <f t="shared" si="55"/>
        <v>0</v>
      </c>
    </row>
    <row r="704" spans="1:18">
      <c r="A704" s="6"/>
      <c r="B704" t="str">
        <f t="shared" si="51"/>
        <v/>
      </c>
      <c r="C704" t="str">
        <f t="shared" si="52"/>
        <v/>
      </c>
      <c r="E704" t="str">
        <f>IFERROR(VLOOKUP(D704,Cadastro!$B$4:$H$100,2,FALSE),"")</f>
        <v/>
      </c>
      <c r="F704" t="str">
        <f>IFERROR(VLOOKUP(D704,Cadastro!$B$4:$H$100,3,FALSE),"")</f>
        <v/>
      </c>
      <c r="J704" s="7"/>
      <c r="K704" s="7"/>
      <c r="L704" s="7"/>
      <c r="M704" s="7"/>
      <c r="N704" s="7"/>
      <c r="O704" s="7"/>
      <c r="P704" s="8">
        <f t="shared" si="53"/>
        <v>0</v>
      </c>
      <c r="Q704" s="8">
        <f t="shared" si="54"/>
        <v>0</v>
      </c>
      <c r="R704" s="8">
        <f t="shared" si="55"/>
        <v>0</v>
      </c>
    </row>
    <row r="705" spans="1:18">
      <c r="A705" s="6"/>
      <c r="B705" t="str">
        <f t="shared" si="51"/>
        <v/>
      </c>
      <c r="C705" t="str">
        <f t="shared" si="52"/>
        <v/>
      </c>
      <c r="E705" t="str">
        <f>IFERROR(VLOOKUP(D705,Cadastro!$B$4:$H$100,2,FALSE),"")</f>
        <v/>
      </c>
      <c r="F705" t="str">
        <f>IFERROR(VLOOKUP(D705,Cadastro!$B$4:$H$100,3,FALSE),"")</f>
        <v/>
      </c>
      <c r="J705" s="7"/>
      <c r="K705" s="7"/>
      <c r="L705" s="7"/>
      <c r="M705" s="7"/>
      <c r="N705" s="7"/>
      <c r="O705" s="7"/>
      <c r="P705" s="8">
        <f t="shared" si="53"/>
        <v>0</v>
      </c>
      <c r="Q705" s="8">
        <f t="shared" si="54"/>
        <v>0</v>
      </c>
      <c r="R705" s="8">
        <f t="shared" si="55"/>
        <v>0</v>
      </c>
    </row>
    <row r="706" spans="1:18">
      <c r="A706" s="6"/>
      <c r="B706" t="str">
        <f t="shared" si="51"/>
        <v/>
      </c>
      <c r="C706" t="str">
        <f t="shared" si="52"/>
        <v/>
      </c>
      <c r="E706" t="str">
        <f>IFERROR(VLOOKUP(D706,Cadastro!$B$4:$H$100,2,FALSE),"")</f>
        <v/>
      </c>
      <c r="F706" t="str">
        <f>IFERROR(VLOOKUP(D706,Cadastro!$B$4:$H$100,3,FALSE),"")</f>
        <v/>
      </c>
      <c r="J706" s="7"/>
      <c r="K706" s="7"/>
      <c r="L706" s="7"/>
      <c r="M706" s="7"/>
      <c r="N706" s="7"/>
      <c r="O706" s="7"/>
      <c r="P706" s="8">
        <f t="shared" si="53"/>
        <v>0</v>
      </c>
      <c r="Q706" s="8">
        <f t="shared" si="54"/>
        <v>0</v>
      </c>
      <c r="R706" s="8">
        <f t="shared" si="55"/>
        <v>0</v>
      </c>
    </row>
    <row r="707" spans="1:18">
      <c r="A707" s="6"/>
      <c r="B707" t="str">
        <f t="shared" si="51"/>
        <v/>
      </c>
      <c r="C707" t="str">
        <f t="shared" si="52"/>
        <v/>
      </c>
      <c r="E707" t="str">
        <f>IFERROR(VLOOKUP(D707,Cadastro!$B$4:$H$100,2,FALSE),"")</f>
        <v/>
      </c>
      <c r="F707" t="str">
        <f>IFERROR(VLOOKUP(D707,Cadastro!$B$4:$H$100,3,FALSE),"")</f>
        <v/>
      </c>
      <c r="J707" s="7"/>
      <c r="K707" s="7"/>
      <c r="L707" s="7"/>
      <c r="M707" s="7"/>
      <c r="N707" s="7"/>
      <c r="O707" s="7"/>
      <c r="P707" s="8">
        <f t="shared" si="53"/>
        <v>0</v>
      </c>
      <c r="Q707" s="8">
        <f t="shared" si="54"/>
        <v>0</v>
      </c>
      <c r="R707" s="8">
        <f t="shared" si="55"/>
        <v>0</v>
      </c>
    </row>
    <row r="708" spans="1:18">
      <c r="A708" s="6"/>
      <c r="B708" t="str">
        <f t="shared" ref="B708:B771" si="56">IF(A708="","",YEAR(A708))</f>
        <v/>
      </c>
      <c r="C708" t="str">
        <f t="shared" ref="C708:C771" si="57">IF(A708="","",TEXT(A708,"mmmm"))</f>
        <v/>
      </c>
      <c r="E708" t="str">
        <f>IFERROR(VLOOKUP(D708,Cadastro!$B$4:$H$100,2,FALSE),"")</f>
        <v/>
      </c>
      <c r="F708" t="str">
        <f>IFERROR(VLOOKUP(D708,Cadastro!$B$4:$H$100,3,FALSE),"")</f>
        <v/>
      </c>
      <c r="J708" s="7"/>
      <c r="K708" s="7"/>
      <c r="L708" s="7"/>
      <c r="M708" s="7"/>
      <c r="N708" s="7"/>
      <c r="O708" s="7"/>
      <c r="P708" s="8">
        <f t="shared" ref="P708:P771" si="58">IF(OR(J708="",K708=""),0,(K708-J708)*24)+IF(OR(L708="",M708=""),0,(M708-L708)*24)+IF(OR(N708="",O708=""),0,(O708-N708)*24)</f>
        <v>0</v>
      </c>
      <c r="Q708" s="8">
        <f t="shared" ref="Q708:Q771" si="59">IF(OR(I708="Prática",I708="Teórico-prática"),P708,0)</f>
        <v>0</v>
      </c>
      <c r="R708" s="8">
        <f t="shared" ref="R708:R771" si="60">IF(OR(I708="Teórica",I708="Teórico-prática"),P708,0)</f>
        <v>0</v>
      </c>
    </row>
    <row r="709" spans="1:18">
      <c r="A709" s="6"/>
      <c r="B709" t="str">
        <f t="shared" si="56"/>
        <v/>
      </c>
      <c r="C709" t="str">
        <f t="shared" si="57"/>
        <v/>
      </c>
      <c r="E709" t="str">
        <f>IFERROR(VLOOKUP(D709,Cadastro!$B$4:$H$100,2,FALSE),"")</f>
        <v/>
      </c>
      <c r="F709" t="str">
        <f>IFERROR(VLOOKUP(D709,Cadastro!$B$4:$H$100,3,FALSE),"")</f>
        <v/>
      </c>
      <c r="J709" s="7"/>
      <c r="K709" s="7"/>
      <c r="L709" s="7"/>
      <c r="M709" s="7"/>
      <c r="N709" s="7"/>
      <c r="O709" s="7"/>
      <c r="P709" s="8">
        <f t="shared" si="58"/>
        <v>0</v>
      </c>
      <c r="Q709" s="8">
        <f t="shared" si="59"/>
        <v>0</v>
      </c>
      <c r="R709" s="8">
        <f t="shared" si="60"/>
        <v>0</v>
      </c>
    </row>
    <row r="710" spans="1:18">
      <c r="A710" s="6"/>
      <c r="B710" t="str">
        <f t="shared" si="56"/>
        <v/>
      </c>
      <c r="C710" t="str">
        <f t="shared" si="57"/>
        <v/>
      </c>
      <c r="E710" t="str">
        <f>IFERROR(VLOOKUP(D710,Cadastro!$B$4:$H$100,2,FALSE),"")</f>
        <v/>
      </c>
      <c r="F710" t="str">
        <f>IFERROR(VLOOKUP(D710,Cadastro!$B$4:$H$100,3,FALSE),"")</f>
        <v/>
      </c>
      <c r="J710" s="7"/>
      <c r="K710" s="7"/>
      <c r="L710" s="7"/>
      <c r="M710" s="7"/>
      <c r="N710" s="7"/>
      <c r="O710" s="7"/>
      <c r="P710" s="8">
        <f t="shared" si="58"/>
        <v>0</v>
      </c>
      <c r="Q710" s="8">
        <f t="shared" si="59"/>
        <v>0</v>
      </c>
      <c r="R710" s="8">
        <f t="shared" si="60"/>
        <v>0</v>
      </c>
    </row>
    <row r="711" spans="1:18">
      <c r="A711" s="6"/>
      <c r="B711" t="str">
        <f t="shared" si="56"/>
        <v/>
      </c>
      <c r="C711" t="str">
        <f t="shared" si="57"/>
        <v/>
      </c>
      <c r="E711" t="str">
        <f>IFERROR(VLOOKUP(D711,Cadastro!$B$4:$H$100,2,FALSE),"")</f>
        <v/>
      </c>
      <c r="F711" t="str">
        <f>IFERROR(VLOOKUP(D711,Cadastro!$B$4:$H$100,3,FALSE),"")</f>
        <v/>
      </c>
      <c r="J711" s="7"/>
      <c r="K711" s="7"/>
      <c r="L711" s="7"/>
      <c r="M711" s="7"/>
      <c r="N711" s="7"/>
      <c r="O711" s="7"/>
      <c r="P711" s="8">
        <f t="shared" si="58"/>
        <v>0</v>
      </c>
      <c r="Q711" s="8">
        <f t="shared" si="59"/>
        <v>0</v>
      </c>
      <c r="R711" s="8">
        <f t="shared" si="60"/>
        <v>0</v>
      </c>
    </row>
    <row r="712" spans="1:18">
      <c r="A712" s="6"/>
      <c r="B712" t="str">
        <f t="shared" si="56"/>
        <v/>
      </c>
      <c r="C712" t="str">
        <f t="shared" si="57"/>
        <v/>
      </c>
      <c r="E712" t="str">
        <f>IFERROR(VLOOKUP(D712,Cadastro!$B$4:$H$100,2,FALSE),"")</f>
        <v/>
      </c>
      <c r="F712" t="str">
        <f>IFERROR(VLOOKUP(D712,Cadastro!$B$4:$H$100,3,FALSE),"")</f>
        <v/>
      </c>
      <c r="J712" s="7"/>
      <c r="K712" s="7"/>
      <c r="L712" s="7"/>
      <c r="M712" s="7"/>
      <c r="N712" s="7"/>
      <c r="O712" s="7"/>
      <c r="P712" s="8">
        <f t="shared" si="58"/>
        <v>0</v>
      </c>
      <c r="Q712" s="8">
        <f t="shared" si="59"/>
        <v>0</v>
      </c>
      <c r="R712" s="8">
        <f t="shared" si="60"/>
        <v>0</v>
      </c>
    </row>
    <row r="713" spans="1:18">
      <c r="A713" s="6"/>
      <c r="B713" t="str">
        <f t="shared" si="56"/>
        <v/>
      </c>
      <c r="C713" t="str">
        <f t="shared" si="57"/>
        <v/>
      </c>
      <c r="E713" t="str">
        <f>IFERROR(VLOOKUP(D713,Cadastro!$B$4:$H$100,2,FALSE),"")</f>
        <v/>
      </c>
      <c r="F713" t="str">
        <f>IFERROR(VLOOKUP(D713,Cadastro!$B$4:$H$100,3,FALSE),"")</f>
        <v/>
      </c>
      <c r="J713" s="7"/>
      <c r="K713" s="7"/>
      <c r="L713" s="7"/>
      <c r="M713" s="7"/>
      <c r="N713" s="7"/>
      <c r="O713" s="7"/>
      <c r="P713" s="8">
        <f t="shared" si="58"/>
        <v>0</v>
      </c>
      <c r="Q713" s="8">
        <f t="shared" si="59"/>
        <v>0</v>
      </c>
      <c r="R713" s="8">
        <f t="shared" si="60"/>
        <v>0</v>
      </c>
    </row>
    <row r="714" spans="1:18">
      <c r="A714" s="6"/>
      <c r="B714" t="str">
        <f t="shared" si="56"/>
        <v/>
      </c>
      <c r="C714" t="str">
        <f t="shared" si="57"/>
        <v/>
      </c>
      <c r="E714" t="str">
        <f>IFERROR(VLOOKUP(D714,Cadastro!$B$4:$H$100,2,FALSE),"")</f>
        <v/>
      </c>
      <c r="F714" t="str">
        <f>IFERROR(VLOOKUP(D714,Cadastro!$B$4:$H$100,3,FALSE),"")</f>
        <v/>
      </c>
      <c r="J714" s="7"/>
      <c r="K714" s="7"/>
      <c r="L714" s="7"/>
      <c r="M714" s="7"/>
      <c r="N714" s="7"/>
      <c r="O714" s="7"/>
      <c r="P714" s="8">
        <f t="shared" si="58"/>
        <v>0</v>
      </c>
      <c r="Q714" s="8">
        <f t="shared" si="59"/>
        <v>0</v>
      </c>
      <c r="R714" s="8">
        <f t="shared" si="60"/>
        <v>0</v>
      </c>
    </row>
    <row r="715" spans="1:18">
      <c r="A715" s="6"/>
      <c r="B715" t="str">
        <f t="shared" si="56"/>
        <v/>
      </c>
      <c r="C715" t="str">
        <f t="shared" si="57"/>
        <v/>
      </c>
      <c r="E715" t="str">
        <f>IFERROR(VLOOKUP(D715,Cadastro!$B$4:$H$100,2,FALSE),"")</f>
        <v/>
      </c>
      <c r="F715" t="str">
        <f>IFERROR(VLOOKUP(D715,Cadastro!$B$4:$H$100,3,FALSE),"")</f>
        <v/>
      </c>
      <c r="J715" s="7"/>
      <c r="K715" s="7"/>
      <c r="L715" s="7"/>
      <c r="M715" s="7"/>
      <c r="N715" s="7"/>
      <c r="O715" s="7"/>
      <c r="P715" s="8">
        <f t="shared" si="58"/>
        <v>0</v>
      </c>
      <c r="Q715" s="8">
        <f t="shared" si="59"/>
        <v>0</v>
      </c>
      <c r="R715" s="8">
        <f t="shared" si="60"/>
        <v>0</v>
      </c>
    </row>
    <row r="716" spans="1:18">
      <c r="A716" s="6"/>
      <c r="B716" t="str">
        <f t="shared" si="56"/>
        <v/>
      </c>
      <c r="C716" t="str">
        <f t="shared" si="57"/>
        <v/>
      </c>
      <c r="E716" t="str">
        <f>IFERROR(VLOOKUP(D716,Cadastro!$B$4:$H$100,2,FALSE),"")</f>
        <v/>
      </c>
      <c r="F716" t="str">
        <f>IFERROR(VLOOKUP(D716,Cadastro!$B$4:$H$100,3,FALSE),"")</f>
        <v/>
      </c>
      <c r="J716" s="7"/>
      <c r="K716" s="7"/>
      <c r="L716" s="7"/>
      <c r="M716" s="7"/>
      <c r="N716" s="7"/>
      <c r="O716" s="7"/>
      <c r="P716" s="8">
        <f t="shared" si="58"/>
        <v>0</v>
      </c>
      <c r="Q716" s="8">
        <f t="shared" si="59"/>
        <v>0</v>
      </c>
      <c r="R716" s="8">
        <f t="shared" si="60"/>
        <v>0</v>
      </c>
    </row>
    <row r="717" spans="1:18">
      <c r="A717" s="6"/>
      <c r="B717" t="str">
        <f t="shared" si="56"/>
        <v/>
      </c>
      <c r="C717" t="str">
        <f t="shared" si="57"/>
        <v/>
      </c>
      <c r="E717" t="str">
        <f>IFERROR(VLOOKUP(D717,Cadastro!$B$4:$H$100,2,FALSE),"")</f>
        <v/>
      </c>
      <c r="F717" t="str">
        <f>IFERROR(VLOOKUP(D717,Cadastro!$B$4:$H$100,3,FALSE),"")</f>
        <v/>
      </c>
      <c r="J717" s="7"/>
      <c r="K717" s="7"/>
      <c r="L717" s="7"/>
      <c r="M717" s="7"/>
      <c r="N717" s="7"/>
      <c r="O717" s="7"/>
      <c r="P717" s="8">
        <f t="shared" si="58"/>
        <v>0</v>
      </c>
      <c r="Q717" s="8">
        <f t="shared" si="59"/>
        <v>0</v>
      </c>
      <c r="R717" s="8">
        <f t="shared" si="60"/>
        <v>0</v>
      </c>
    </row>
    <row r="718" spans="1:18">
      <c r="A718" s="6"/>
      <c r="B718" t="str">
        <f t="shared" si="56"/>
        <v/>
      </c>
      <c r="C718" t="str">
        <f t="shared" si="57"/>
        <v/>
      </c>
      <c r="E718" t="str">
        <f>IFERROR(VLOOKUP(D718,Cadastro!$B$4:$H$100,2,FALSE),"")</f>
        <v/>
      </c>
      <c r="F718" t="str">
        <f>IFERROR(VLOOKUP(D718,Cadastro!$B$4:$H$100,3,FALSE),"")</f>
        <v/>
      </c>
      <c r="J718" s="7"/>
      <c r="K718" s="7"/>
      <c r="L718" s="7"/>
      <c r="M718" s="7"/>
      <c r="N718" s="7"/>
      <c r="O718" s="7"/>
      <c r="P718" s="8">
        <f t="shared" si="58"/>
        <v>0</v>
      </c>
      <c r="Q718" s="8">
        <f t="shared" si="59"/>
        <v>0</v>
      </c>
      <c r="R718" s="8">
        <f t="shared" si="60"/>
        <v>0</v>
      </c>
    </row>
    <row r="719" spans="1:18">
      <c r="A719" s="6"/>
      <c r="B719" t="str">
        <f t="shared" si="56"/>
        <v/>
      </c>
      <c r="C719" t="str">
        <f t="shared" si="57"/>
        <v/>
      </c>
      <c r="E719" t="str">
        <f>IFERROR(VLOOKUP(D719,Cadastro!$B$4:$H$100,2,FALSE),"")</f>
        <v/>
      </c>
      <c r="F719" t="str">
        <f>IFERROR(VLOOKUP(D719,Cadastro!$B$4:$H$100,3,FALSE),"")</f>
        <v/>
      </c>
      <c r="J719" s="7"/>
      <c r="K719" s="7"/>
      <c r="L719" s="7"/>
      <c r="M719" s="7"/>
      <c r="N719" s="7"/>
      <c r="O719" s="7"/>
      <c r="P719" s="8">
        <f t="shared" si="58"/>
        <v>0</v>
      </c>
      <c r="Q719" s="8">
        <f t="shared" si="59"/>
        <v>0</v>
      </c>
      <c r="R719" s="8">
        <f t="shared" si="60"/>
        <v>0</v>
      </c>
    </row>
    <row r="720" spans="1:18">
      <c r="A720" s="6"/>
      <c r="B720" t="str">
        <f t="shared" si="56"/>
        <v/>
      </c>
      <c r="C720" t="str">
        <f t="shared" si="57"/>
        <v/>
      </c>
      <c r="E720" t="str">
        <f>IFERROR(VLOOKUP(D720,Cadastro!$B$4:$H$100,2,FALSE),"")</f>
        <v/>
      </c>
      <c r="F720" t="str">
        <f>IFERROR(VLOOKUP(D720,Cadastro!$B$4:$H$100,3,FALSE),"")</f>
        <v/>
      </c>
      <c r="J720" s="7"/>
      <c r="K720" s="7"/>
      <c r="L720" s="7"/>
      <c r="M720" s="7"/>
      <c r="N720" s="7"/>
      <c r="O720" s="7"/>
      <c r="P720" s="8">
        <f t="shared" si="58"/>
        <v>0</v>
      </c>
      <c r="Q720" s="8">
        <f t="shared" si="59"/>
        <v>0</v>
      </c>
      <c r="R720" s="8">
        <f t="shared" si="60"/>
        <v>0</v>
      </c>
    </row>
    <row r="721" spans="1:18">
      <c r="A721" s="6"/>
      <c r="B721" t="str">
        <f t="shared" si="56"/>
        <v/>
      </c>
      <c r="C721" t="str">
        <f t="shared" si="57"/>
        <v/>
      </c>
      <c r="E721" t="str">
        <f>IFERROR(VLOOKUP(D721,Cadastro!$B$4:$H$100,2,FALSE),"")</f>
        <v/>
      </c>
      <c r="F721" t="str">
        <f>IFERROR(VLOOKUP(D721,Cadastro!$B$4:$H$100,3,FALSE),"")</f>
        <v/>
      </c>
      <c r="J721" s="7"/>
      <c r="K721" s="7"/>
      <c r="L721" s="7"/>
      <c r="M721" s="7"/>
      <c r="N721" s="7"/>
      <c r="O721" s="7"/>
      <c r="P721" s="8">
        <f t="shared" si="58"/>
        <v>0</v>
      </c>
      <c r="Q721" s="8">
        <f t="shared" si="59"/>
        <v>0</v>
      </c>
      <c r="R721" s="8">
        <f t="shared" si="60"/>
        <v>0</v>
      </c>
    </row>
    <row r="722" spans="1:18">
      <c r="A722" s="6"/>
      <c r="B722" t="str">
        <f t="shared" si="56"/>
        <v/>
      </c>
      <c r="C722" t="str">
        <f t="shared" si="57"/>
        <v/>
      </c>
      <c r="E722" t="str">
        <f>IFERROR(VLOOKUP(D722,Cadastro!$B$4:$H$100,2,FALSE),"")</f>
        <v/>
      </c>
      <c r="F722" t="str">
        <f>IFERROR(VLOOKUP(D722,Cadastro!$B$4:$H$100,3,FALSE),"")</f>
        <v/>
      </c>
      <c r="J722" s="7"/>
      <c r="K722" s="7"/>
      <c r="L722" s="7"/>
      <c r="M722" s="7"/>
      <c r="N722" s="7"/>
      <c r="O722" s="7"/>
      <c r="P722" s="8">
        <f t="shared" si="58"/>
        <v>0</v>
      </c>
      <c r="Q722" s="8">
        <f t="shared" si="59"/>
        <v>0</v>
      </c>
      <c r="R722" s="8">
        <f t="shared" si="60"/>
        <v>0</v>
      </c>
    </row>
    <row r="723" spans="1:18">
      <c r="A723" s="6"/>
      <c r="B723" t="str">
        <f t="shared" si="56"/>
        <v/>
      </c>
      <c r="C723" t="str">
        <f t="shared" si="57"/>
        <v/>
      </c>
      <c r="E723" t="str">
        <f>IFERROR(VLOOKUP(D723,Cadastro!$B$4:$H$100,2,FALSE),"")</f>
        <v/>
      </c>
      <c r="F723" t="str">
        <f>IFERROR(VLOOKUP(D723,Cadastro!$B$4:$H$100,3,FALSE),"")</f>
        <v/>
      </c>
      <c r="J723" s="7"/>
      <c r="K723" s="7"/>
      <c r="L723" s="7"/>
      <c r="M723" s="7"/>
      <c r="N723" s="7"/>
      <c r="O723" s="7"/>
      <c r="P723" s="8">
        <f t="shared" si="58"/>
        <v>0</v>
      </c>
      <c r="Q723" s="8">
        <f t="shared" si="59"/>
        <v>0</v>
      </c>
      <c r="R723" s="8">
        <f t="shared" si="60"/>
        <v>0</v>
      </c>
    </row>
    <row r="724" spans="1:18">
      <c r="A724" s="6"/>
      <c r="B724" t="str">
        <f t="shared" si="56"/>
        <v/>
      </c>
      <c r="C724" t="str">
        <f t="shared" si="57"/>
        <v/>
      </c>
      <c r="E724" t="str">
        <f>IFERROR(VLOOKUP(D724,Cadastro!$B$4:$H$100,2,FALSE),"")</f>
        <v/>
      </c>
      <c r="F724" t="str">
        <f>IFERROR(VLOOKUP(D724,Cadastro!$B$4:$H$100,3,FALSE),"")</f>
        <v/>
      </c>
      <c r="J724" s="7"/>
      <c r="K724" s="7"/>
      <c r="L724" s="7"/>
      <c r="M724" s="7"/>
      <c r="N724" s="7"/>
      <c r="O724" s="7"/>
      <c r="P724" s="8">
        <f t="shared" si="58"/>
        <v>0</v>
      </c>
      <c r="Q724" s="8">
        <f t="shared" si="59"/>
        <v>0</v>
      </c>
      <c r="R724" s="8">
        <f t="shared" si="60"/>
        <v>0</v>
      </c>
    </row>
    <row r="725" spans="1:18">
      <c r="A725" s="6"/>
      <c r="B725" t="str">
        <f t="shared" si="56"/>
        <v/>
      </c>
      <c r="C725" t="str">
        <f t="shared" si="57"/>
        <v/>
      </c>
      <c r="E725" t="str">
        <f>IFERROR(VLOOKUP(D725,Cadastro!$B$4:$H$100,2,FALSE),"")</f>
        <v/>
      </c>
      <c r="F725" t="str">
        <f>IFERROR(VLOOKUP(D725,Cadastro!$B$4:$H$100,3,FALSE),"")</f>
        <v/>
      </c>
      <c r="J725" s="7"/>
      <c r="K725" s="7"/>
      <c r="L725" s="7"/>
      <c r="M725" s="7"/>
      <c r="N725" s="7"/>
      <c r="O725" s="7"/>
      <c r="P725" s="8">
        <f t="shared" si="58"/>
        <v>0</v>
      </c>
      <c r="Q725" s="8">
        <f t="shared" si="59"/>
        <v>0</v>
      </c>
      <c r="R725" s="8">
        <f t="shared" si="60"/>
        <v>0</v>
      </c>
    </row>
    <row r="726" spans="1:18">
      <c r="A726" s="6"/>
      <c r="B726" t="str">
        <f t="shared" si="56"/>
        <v/>
      </c>
      <c r="C726" t="str">
        <f t="shared" si="57"/>
        <v/>
      </c>
      <c r="E726" t="str">
        <f>IFERROR(VLOOKUP(D726,Cadastro!$B$4:$H$100,2,FALSE),"")</f>
        <v/>
      </c>
      <c r="F726" t="str">
        <f>IFERROR(VLOOKUP(D726,Cadastro!$B$4:$H$100,3,FALSE),"")</f>
        <v/>
      </c>
      <c r="J726" s="7"/>
      <c r="K726" s="7"/>
      <c r="L726" s="7"/>
      <c r="M726" s="7"/>
      <c r="N726" s="7"/>
      <c r="O726" s="7"/>
      <c r="P726" s="8">
        <f t="shared" si="58"/>
        <v>0</v>
      </c>
      <c r="Q726" s="8">
        <f t="shared" si="59"/>
        <v>0</v>
      </c>
      <c r="R726" s="8">
        <f t="shared" si="60"/>
        <v>0</v>
      </c>
    </row>
    <row r="727" spans="1:18">
      <c r="A727" s="6"/>
      <c r="B727" t="str">
        <f t="shared" si="56"/>
        <v/>
      </c>
      <c r="C727" t="str">
        <f t="shared" si="57"/>
        <v/>
      </c>
      <c r="E727" t="str">
        <f>IFERROR(VLOOKUP(D727,Cadastro!$B$4:$H$100,2,FALSE),"")</f>
        <v/>
      </c>
      <c r="F727" t="str">
        <f>IFERROR(VLOOKUP(D727,Cadastro!$B$4:$H$100,3,FALSE),"")</f>
        <v/>
      </c>
      <c r="J727" s="7"/>
      <c r="K727" s="7"/>
      <c r="L727" s="7"/>
      <c r="M727" s="7"/>
      <c r="N727" s="7"/>
      <c r="O727" s="7"/>
      <c r="P727" s="8">
        <f t="shared" si="58"/>
        <v>0</v>
      </c>
      <c r="Q727" s="8">
        <f t="shared" si="59"/>
        <v>0</v>
      </c>
      <c r="R727" s="8">
        <f t="shared" si="60"/>
        <v>0</v>
      </c>
    </row>
    <row r="728" spans="1:18">
      <c r="A728" s="6"/>
      <c r="B728" t="str">
        <f t="shared" si="56"/>
        <v/>
      </c>
      <c r="C728" t="str">
        <f t="shared" si="57"/>
        <v/>
      </c>
      <c r="E728" t="str">
        <f>IFERROR(VLOOKUP(D728,Cadastro!$B$4:$H$100,2,FALSE),"")</f>
        <v/>
      </c>
      <c r="F728" t="str">
        <f>IFERROR(VLOOKUP(D728,Cadastro!$B$4:$H$100,3,FALSE),"")</f>
        <v/>
      </c>
      <c r="J728" s="7"/>
      <c r="K728" s="7"/>
      <c r="L728" s="7"/>
      <c r="M728" s="7"/>
      <c r="N728" s="7"/>
      <c r="O728" s="7"/>
      <c r="P728" s="8">
        <f t="shared" si="58"/>
        <v>0</v>
      </c>
      <c r="Q728" s="8">
        <f t="shared" si="59"/>
        <v>0</v>
      </c>
      <c r="R728" s="8">
        <f t="shared" si="60"/>
        <v>0</v>
      </c>
    </row>
    <row r="729" spans="1:18">
      <c r="A729" s="6"/>
      <c r="B729" t="str">
        <f t="shared" si="56"/>
        <v/>
      </c>
      <c r="C729" t="str">
        <f t="shared" si="57"/>
        <v/>
      </c>
      <c r="E729" t="str">
        <f>IFERROR(VLOOKUP(D729,Cadastro!$B$4:$H$100,2,FALSE),"")</f>
        <v/>
      </c>
      <c r="F729" t="str">
        <f>IFERROR(VLOOKUP(D729,Cadastro!$B$4:$H$100,3,FALSE),"")</f>
        <v/>
      </c>
      <c r="J729" s="7"/>
      <c r="K729" s="7"/>
      <c r="L729" s="7"/>
      <c r="M729" s="7"/>
      <c r="N729" s="7"/>
      <c r="O729" s="7"/>
      <c r="P729" s="8">
        <f t="shared" si="58"/>
        <v>0</v>
      </c>
      <c r="Q729" s="8">
        <f t="shared" si="59"/>
        <v>0</v>
      </c>
      <c r="R729" s="8">
        <f t="shared" si="60"/>
        <v>0</v>
      </c>
    </row>
    <row r="730" spans="1:18">
      <c r="A730" s="6"/>
      <c r="B730" t="str">
        <f t="shared" si="56"/>
        <v/>
      </c>
      <c r="C730" t="str">
        <f t="shared" si="57"/>
        <v/>
      </c>
      <c r="E730" t="str">
        <f>IFERROR(VLOOKUP(D730,Cadastro!$B$4:$H$100,2,FALSE),"")</f>
        <v/>
      </c>
      <c r="F730" t="str">
        <f>IFERROR(VLOOKUP(D730,Cadastro!$B$4:$H$100,3,FALSE),"")</f>
        <v/>
      </c>
      <c r="J730" s="7"/>
      <c r="K730" s="7"/>
      <c r="L730" s="7"/>
      <c r="M730" s="7"/>
      <c r="N730" s="7"/>
      <c r="O730" s="7"/>
      <c r="P730" s="8">
        <f t="shared" si="58"/>
        <v>0</v>
      </c>
      <c r="Q730" s="8">
        <f t="shared" si="59"/>
        <v>0</v>
      </c>
      <c r="R730" s="8">
        <f t="shared" si="60"/>
        <v>0</v>
      </c>
    </row>
    <row r="731" spans="1:18">
      <c r="A731" s="6"/>
      <c r="B731" t="str">
        <f t="shared" si="56"/>
        <v/>
      </c>
      <c r="C731" t="str">
        <f t="shared" si="57"/>
        <v/>
      </c>
      <c r="E731" t="str">
        <f>IFERROR(VLOOKUP(D731,Cadastro!$B$4:$H$100,2,FALSE),"")</f>
        <v/>
      </c>
      <c r="F731" t="str">
        <f>IFERROR(VLOOKUP(D731,Cadastro!$B$4:$H$100,3,FALSE),"")</f>
        <v/>
      </c>
      <c r="J731" s="7"/>
      <c r="K731" s="7"/>
      <c r="L731" s="7"/>
      <c r="M731" s="7"/>
      <c r="N731" s="7"/>
      <c r="O731" s="7"/>
      <c r="P731" s="8">
        <f t="shared" si="58"/>
        <v>0</v>
      </c>
      <c r="Q731" s="8">
        <f t="shared" si="59"/>
        <v>0</v>
      </c>
      <c r="R731" s="8">
        <f t="shared" si="60"/>
        <v>0</v>
      </c>
    </row>
    <row r="732" spans="1:18">
      <c r="A732" s="6"/>
      <c r="B732" t="str">
        <f t="shared" si="56"/>
        <v/>
      </c>
      <c r="C732" t="str">
        <f t="shared" si="57"/>
        <v/>
      </c>
      <c r="E732" t="str">
        <f>IFERROR(VLOOKUP(D732,Cadastro!$B$4:$H$100,2,FALSE),"")</f>
        <v/>
      </c>
      <c r="F732" t="str">
        <f>IFERROR(VLOOKUP(D732,Cadastro!$B$4:$H$100,3,FALSE),"")</f>
        <v/>
      </c>
      <c r="J732" s="7"/>
      <c r="K732" s="7"/>
      <c r="L732" s="7"/>
      <c r="M732" s="7"/>
      <c r="N732" s="7"/>
      <c r="O732" s="7"/>
      <c r="P732" s="8">
        <f t="shared" si="58"/>
        <v>0</v>
      </c>
      <c r="Q732" s="8">
        <f t="shared" si="59"/>
        <v>0</v>
      </c>
      <c r="R732" s="8">
        <f t="shared" si="60"/>
        <v>0</v>
      </c>
    </row>
    <row r="733" spans="1:18">
      <c r="A733" s="6"/>
      <c r="B733" t="str">
        <f t="shared" si="56"/>
        <v/>
      </c>
      <c r="C733" t="str">
        <f t="shared" si="57"/>
        <v/>
      </c>
      <c r="E733" t="str">
        <f>IFERROR(VLOOKUP(D733,Cadastro!$B$4:$H$100,2,FALSE),"")</f>
        <v/>
      </c>
      <c r="F733" t="str">
        <f>IFERROR(VLOOKUP(D733,Cadastro!$B$4:$H$100,3,FALSE),"")</f>
        <v/>
      </c>
      <c r="J733" s="7"/>
      <c r="K733" s="7"/>
      <c r="L733" s="7"/>
      <c r="M733" s="7"/>
      <c r="N733" s="7"/>
      <c r="O733" s="7"/>
      <c r="P733" s="8">
        <f t="shared" si="58"/>
        <v>0</v>
      </c>
      <c r="Q733" s="8">
        <f t="shared" si="59"/>
        <v>0</v>
      </c>
      <c r="R733" s="8">
        <f t="shared" si="60"/>
        <v>0</v>
      </c>
    </row>
    <row r="734" spans="1:18">
      <c r="A734" s="6"/>
      <c r="B734" t="str">
        <f t="shared" si="56"/>
        <v/>
      </c>
      <c r="C734" t="str">
        <f t="shared" si="57"/>
        <v/>
      </c>
      <c r="E734" t="str">
        <f>IFERROR(VLOOKUP(D734,Cadastro!$B$4:$H$100,2,FALSE),"")</f>
        <v/>
      </c>
      <c r="F734" t="str">
        <f>IFERROR(VLOOKUP(D734,Cadastro!$B$4:$H$100,3,FALSE),"")</f>
        <v/>
      </c>
      <c r="J734" s="7"/>
      <c r="K734" s="7"/>
      <c r="L734" s="7"/>
      <c r="M734" s="7"/>
      <c r="N734" s="7"/>
      <c r="O734" s="7"/>
      <c r="P734" s="8">
        <f t="shared" si="58"/>
        <v>0</v>
      </c>
      <c r="Q734" s="8">
        <f t="shared" si="59"/>
        <v>0</v>
      </c>
      <c r="R734" s="8">
        <f t="shared" si="60"/>
        <v>0</v>
      </c>
    </row>
    <row r="735" spans="1:18">
      <c r="A735" s="6"/>
      <c r="B735" t="str">
        <f t="shared" si="56"/>
        <v/>
      </c>
      <c r="C735" t="str">
        <f t="shared" si="57"/>
        <v/>
      </c>
      <c r="E735" t="str">
        <f>IFERROR(VLOOKUP(D735,Cadastro!$B$4:$H$100,2,FALSE),"")</f>
        <v/>
      </c>
      <c r="F735" t="str">
        <f>IFERROR(VLOOKUP(D735,Cadastro!$B$4:$H$100,3,FALSE),"")</f>
        <v/>
      </c>
      <c r="J735" s="7"/>
      <c r="K735" s="7"/>
      <c r="L735" s="7"/>
      <c r="M735" s="7"/>
      <c r="N735" s="7"/>
      <c r="O735" s="7"/>
      <c r="P735" s="8">
        <f t="shared" si="58"/>
        <v>0</v>
      </c>
      <c r="Q735" s="8">
        <f t="shared" si="59"/>
        <v>0</v>
      </c>
      <c r="R735" s="8">
        <f t="shared" si="60"/>
        <v>0</v>
      </c>
    </row>
    <row r="736" spans="1:18">
      <c r="A736" s="6"/>
      <c r="B736" t="str">
        <f t="shared" si="56"/>
        <v/>
      </c>
      <c r="C736" t="str">
        <f t="shared" si="57"/>
        <v/>
      </c>
      <c r="E736" t="str">
        <f>IFERROR(VLOOKUP(D736,Cadastro!$B$4:$H$100,2,FALSE),"")</f>
        <v/>
      </c>
      <c r="F736" t="str">
        <f>IFERROR(VLOOKUP(D736,Cadastro!$B$4:$H$100,3,FALSE),"")</f>
        <v/>
      </c>
      <c r="J736" s="7"/>
      <c r="K736" s="7"/>
      <c r="L736" s="7"/>
      <c r="M736" s="7"/>
      <c r="N736" s="7"/>
      <c r="O736" s="7"/>
      <c r="P736" s="8">
        <f t="shared" si="58"/>
        <v>0</v>
      </c>
      <c r="Q736" s="8">
        <f t="shared" si="59"/>
        <v>0</v>
      </c>
      <c r="R736" s="8">
        <f t="shared" si="60"/>
        <v>0</v>
      </c>
    </row>
    <row r="737" spans="1:18">
      <c r="A737" s="6"/>
      <c r="B737" t="str">
        <f t="shared" si="56"/>
        <v/>
      </c>
      <c r="C737" t="str">
        <f t="shared" si="57"/>
        <v/>
      </c>
      <c r="E737" t="str">
        <f>IFERROR(VLOOKUP(D737,Cadastro!$B$4:$H$100,2,FALSE),"")</f>
        <v/>
      </c>
      <c r="F737" t="str">
        <f>IFERROR(VLOOKUP(D737,Cadastro!$B$4:$H$100,3,FALSE),"")</f>
        <v/>
      </c>
      <c r="J737" s="7"/>
      <c r="K737" s="7"/>
      <c r="L737" s="7"/>
      <c r="M737" s="7"/>
      <c r="N737" s="7"/>
      <c r="O737" s="7"/>
      <c r="P737" s="8">
        <f t="shared" si="58"/>
        <v>0</v>
      </c>
      <c r="Q737" s="8">
        <f t="shared" si="59"/>
        <v>0</v>
      </c>
      <c r="R737" s="8">
        <f t="shared" si="60"/>
        <v>0</v>
      </c>
    </row>
    <row r="738" spans="1:18">
      <c r="A738" s="6"/>
      <c r="B738" t="str">
        <f t="shared" si="56"/>
        <v/>
      </c>
      <c r="C738" t="str">
        <f t="shared" si="57"/>
        <v/>
      </c>
      <c r="E738" t="str">
        <f>IFERROR(VLOOKUP(D738,Cadastro!$B$4:$H$100,2,FALSE),"")</f>
        <v/>
      </c>
      <c r="F738" t="str">
        <f>IFERROR(VLOOKUP(D738,Cadastro!$B$4:$H$100,3,FALSE),"")</f>
        <v/>
      </c>
      <c r="J738" s="7"/>
      <c r="K738" s="7"/>
      <c r="L738" s="7"/>
      <c r="M738" s="7"/>
      <c r="N738" s="7"/>
      <c r="O738" s="7"/>
      <c r="P738" s="8">
        <f t="shared" si="58"/>
        <v>0</v>
      </c>
      <c r="Q738" s="8">
        <f t="shared" si="59"/>
        <v>0</v>
      </c>
      <c r="R738" s="8">
        <f t="shared" si="60"/>
        <v>0</v>
      </c>
    </row>
    <row r="739" spans="1:18">
      <c r="A739" s="6"/>
      <c r="B739" t="str">
        <f t="shared" si="56"/>
        <v/>
      </c>
      <c r="C739" t="str">
        <f t="shared" si="57"/>
        <v/>
      </c>
      <c r="E739" t="str">
        <f>IFERROR(VLOOKUP(D739,Cadastro!$B$4:$H$100,2,FALSE),"")</f>
        <v/>
      </c>
      <c r="F739" t="str">
        <f>IFERROR(VLOOKUP(D739,Cadastro!$B$4:$H$100,3,FALSE),"")</f>
        <v/>
      </c>
      <c r="J739" s="7"/>
      <c r="K739" s="7"/>
      <c r="L739" s="7"/>
      <c r="M739" s="7"/>
      <c r="N739" s="7"/>
      <c r="O739" s="7"/>
      <c r="P739" s="8">
        <f t="shared" si="58"/>
        <v>0</v>
      </c>
      <c r="Q739" s="8">
        <f t="shared" si="59"/>
        <v>0</v>
      </c>
      <c r="R739" s="8">
        <f t="shared" si="60"/>
        <v>0</v>
      </c>
    </row>
    <row r="740" spans="1:18">
      <c r="A740" s="6"/>
      <c r="B740" t="str">
        <f t="shared" si="56"/>
        <v/>
      </c>
      <c r="C740" t="str">
        <f t="shared" si="57"/>
        <v/>
      </c>
      <c r="E740" t="str">
        <f>IFERROR(VLOOKUP(D740,Cadastro!$B$4:$H$100,2,FALSE),"")</f>
        <v/>
      </c>
      <c r="F740" t="str">
        <f>IFERROR(VLOOKUP(D740,Cadastro!$B$4:$H$100,3,FALSE),"")</f>
        <v/>
      </c>
      <c r="J740" s="7"/>
      <c r="K740" s="7"/>
      <c r="L740" s="7"/>
      <c r="M740" s="7"/>
      <c r="N740" s="7"/>
      <c r="O740" s="7"/>
      <c r="P740" s="8">
        <f t="shared" si="58"/>
        <v>0</v>
      </c>
      <c r="Q740" s="8">
        <f t="shared" si="59"/>
        <v>0</v>
      </c>
      <c r="R740" s="8">
        <f t="shared" si="60"/>
        <v>0</v>
      </c>
    </row>
    <row r="741" spans="1:18">
      <c r="A741" s="6"/>
      <c r="B741" t="str">
        <f t="shared" si="56"/>
        <v/>
      </c>
      <c r="C741" t="str">
        <f t="shared" si="57"/>
        <v/>
      </c>
      <c r="E741" t="str">
        <f>IFERROR(VLOOKUP(D741,Cadastro!$B$4:$H$100,2,FALSE),"")</f>
        <v/>
      </c>
      <c r="F741" t="str">
        <f>IFERROR(VLOOKUP(D741,Cadastro!$B$4:$H$100,3,FALSE),"")</f>
        <v/>
      </c>
      <c r="J741" s="7"/>
      <c r="K741" s="7"/>
      <c r="L741" s="7"/>
      <c r="M741" s="7"/>
      <c r="N741" s="7"/>
      <c r="O741" s="7"/>
      <c r="P741" s="8">
        <f t="shared" si="58"/>
        <v>0</v>
      </c>
      <c r="Q741" s="8">
        <f t="shared" si="59"/>
        <v>0</v>
      </c>
      <c r="R741" s="8">
        <f t="shared" si="60"/>
        <v>0</v>
      </c>
    </row>
    <row r="742" spans="1:18">
      <c r="A742" s="6"/>
      <c r="B742" t="str">
        <f t="shared" si="56"/>
        <v/>
      </c>
      <c r="C742" t="str">
        <f t="shared" si="57"/>
        <v/>
      </c>
      <c r="E742" t="str">
        <f>IFERROR(VLOOKUP(D742,Cadastro!$B$4:$H$100,2,FALSE),"")</f>
        <v/>
      </c>
      <c r="F742" t="str">
        <f>IFERROR(VLOOKUP(D742,Cadastro!$B$4:$H$100,3,FALSE),"")</f>
        <v/>
      </c>
      <c r="J742" s="7"/>
      <c r="K742" s="7"/>
      <c r="L742" s="7"/>
      <c r="M742" s="7"/>
      <c r="N742" s="7"/>
      <c r="O742" s="7"/>
      <c r="P742" s="8">
        <f t="shared" si="58"/>
        <v>0</v>
      </c>
      <c r="Q742" s="8">
        <f t="shared" si="59"/>
        <v>0</v>
      </c>
      <c r="R742" s="8">
        <f t="shared" si="60"/>
        <v>0</v>
      </c>
    </row>
    <row r="743" spans="1:18">
      <c r="A743" s="6"/>
      <c r="B743" t="str">
        <f t="shared" si="56"/>
        <v/>
      </c>
      <c r="C743" t="str">
        <f t="shared" si="57"/>
        <v/>
      </c>
      <c r="E743" t="str">
        <f>IFERROR(VLOOKUP(D743,Cadastro!$B$4:$H$100,2,FALSE),"")</f>
        <v/>
      </c>
      <c r="F743" t="str">
        <f>IFERROR(VLOOKUP(D743,Cadastro!$B$4:$H$100,3,FALSE),"")</f>
        <v/>
      </c>
      <c r="J743" s="7"/>
      <c r="K743" s="7"/>
      <c r="L743" s="7"/>
      <c r="M743" s="7"/>
      <c r="N743" s="7"/>
      <c r="O743" s="7"/>
      <c r="P743" s="8">
        <f t="shared" si="58"/>
        <v>0</v>
      </c>
      <c r="Q743" s="8">
        <f t="shared" si="59"/>
        <v>0</v>
      </c>
      <c r="R743" s="8">
        <f t="shared" si="60"/>
        <v>0</v>
      </c>
    </row>
    <row r="744" spans="1:18">
      <c r="A744" s="6"/>
      <c r="B744" t="str">
        <f t="shared" si="56"/>
        <v/>
      </c>
      <c r="C744" t="str">
        <f t="shared" si="57"/>
        <v/>
      </c>
      <c r="E744" t="str">
        <f>IFERROR(VLOOKUP(D744,Cadastro!$B$4:$H$100,2,FALSE),"")</f>
        <v/>
      </c>
      <c r="F744" t="str">
        <f>IFERROR(VLOOKUP(D744,Cadastro!$B$4:$H$100,3,FALSE),"")</f>
        <v/>
      </c>
      <c r="J744" s="7"/>
      <c r="K744" s="7"/>
      <c r="L744" s="7"/>
      <c r="M744" s="7"/>
      <c r="N744" s="7"/>
      <c r="O744" s="7"/>
      <c r="P744" s="8">
        <f t="shared" si="58"/>
        <v>0</v>
      </c>
      <c r="Q744" s="8">
        <f t="shared" si="59"/>
        <v>0</v>
      </c>
      <c r="R744" s="8">
        <f t="shared" si="60"/>
        <v>0</v>
      </c>
    </row>
    <row r="745" spans="1:18">
      <c r="A745" s="6"/>
      <c r="B745" t="str">
        <f t="shared" si="56"/>
        <v/>
      </c>
      <c r="C745" t="str">
        <f t="shared" si="57"/>
        <v/>
      </c>
      <c r="E745" t="str">
        <f>IFERROR(VLOOKUP(D745,Cadastro!$B$4:$H$100,2,FALSE),"")</f>
        <v/>
      </c>
      <c r="F745" t="str">
        <f>IFERROR(VLOOKUP(D745,Cadastro!$B$4:$H$100,3,FALSE),"")</f>
        <v/>
      </c>
      <c r="J745" s="7"/>
      <c r="K745" s="7"/>
      <c r="L745" s="7"/>
      <c r="M745" s="7"/>
      <c r="N745" s="7"/>
      <c r="O745" s="7"/>
      <c r="P745" s="8">
        <f t="shared" si="58"/>
        <v>0</v>
      </c>
      <c r="Q745" s="8">
        <f t="shared" si="59"/>
        <v>0</v>
      </c>
      <c r="R745" s="8">
        <f t="shared" si="60"/>
        <v>0</v>
      </c>
    </row>
    <row r="746" spans="1:18">
      <c r="A746" s="6"/>
      <c r="B746" t="str">
        <f t="shared" si="56"/>
        <v/>
      </c>
      <c r="C746" t="str">
        <f t="shared" si="57"/>
        <v/>
      </c>
      <c r="E746" t="str">
        <f>IFERROR(VLOOKUP(D746,Cadastro!$B$4:$H$100,2,FALSE),"")</f>
        <v/>
      </c>
      <c r="F746" t="str">
        <f>IFERROR(VLOOKUP(D746,Cadastro!$B$4:$H$100,3,FALSE),"")</f>
        <v/>
      </c>
      <c r="J746" s="7"/>
      <c r="K746" s="7"/>
      <c r="L746" s="7"/>
      <c r="M746" s="7"/>
      <c r="N746" s="7"/>
      <c r="O746" s="7"/>
      <c r="P746" s="8">
        <f t="shared" si="58"/>
        <v>0</v>
      </c>
      <c r="Q746" s="8">
        <f t="shared" si="59"/>
        <v>0</v>
      </c>
      <c r="R746" s="8">
        <f t="shared" si="60"/>
        <v>0</v>
      </c>
    </row>
    <row r="747" spans="1:18">
      <c r="A747" s="6"/>
      <c r="B747" t="str">
        <f t="shared" si="56"/>
        <v/>
      </c>
      <c r="C747" t="str">
        <f t="shared" si="57"/>
        <v/>
      </c>
      <c r="E747" t="str">
        <f>IFERROR(VLOOKUP(D747,Cadastro!$B$4:$H$100,2,FALSE),"")</f>
        <v/>
      </c>
      <c r="F747" t="str">
        <f>IFERROR(VLOOKUP(D747,Cadastro!$B$4:$H$100,3,FALSE),"")</f>
        <v/>
      </c>
      <c r="J747" s="7"/>
      <c r="K747" s="7"/>
      <c r="L747" s="7"/>
      <c r="M747" s="7"/>
      <c r="N747" s="7"/>
      <c r="O747" s="7"/>
      <c r="P747" s="8">
        <f t="shared" si="58"/>
        <v>0</v>
      </c>
      <c r="Q747" s="8">
        <f t="shared" si="59"/>
        <v>0</v>
      </c>
      <c r="R747" s="8">
        <f t="shared" si="60"/>
        <v>0</v>
      </c>
    </row>
    <row r="748" spans="1:18">
      <c r="A748" s="6"/>
      <c r="B748" t="str">
        <f t="shared" si="56"/>
        <v/>
      </c>
      <c r="C748" t="str">
        <f t="shared" si="57"/>
        <v/>
      </c>
      <c r="E748" t="str">
        <f>IFERROR(VLOOKUP(D748,Cadastro!$B$4:$H$100,2,FALSE),"")</f>
        <v/>
      </c>
      <c r="F748" t="str">
        <f>IFERROR(VLOOKUP(D748,Cadastro!$B$4:$H$100,3,FALSE),"")</f>
        <v/>
      </c>
      <c r="J748" s="7"/>
      <c r="K748" s="7"/>
      <c r="L748" s="7"/>
      <c r="M748" s="7"/>
      <c r="N748" s="7"/>
      <c r="O748" s="7"/>
      <c r="P748" s="8">
        <f t="shared" si="58"/>
        <v>0</v>
      </c>
      <c r="Q748" s="8">
        <f t="shared" si="59"/>
        <v>0</v>
      </c>
      <c r="R748" s="8">
        <f t="shared" si="60"/>
        <v>0</v>
      </c>
    </row>
    <row r="749" spans="1:18">
      <c r="A749" s="6"/>
      <c r="B749" t="str">
        <f t="shared" si="56"/>
        <v/>
      </c>
      <c r="C749" t="str">
        <f t="shared" si="57"/>
        <v/>
      </c>
      <c r="E749" t="str">
        <f>IFERROR(VLOOKUP(D749,Cadastro!$B$4:$H$100,2,FALSE),"")</f>
        <v/>
      </c>
      <c r="F749" t="str">
        <f>IFERROR(VLOOKUP(D749,Cadastro!$B$4:$H$100,3,FALSE),"")</f>
        <v/>
      </c>
      <c r="J749" s="7"/>
      <c r="K749" s="7"/>
      <c r="L749" s="7"/>
      <c r="M749" s="7"/>
      <c r="N749" s="7"/>
      <c r="O749" s="7"/>
      <c r="P749" s="8">
        <f t="shared" si="58"/>
        <v>0</v>
      </c>
      <c r="Q749" s="8">
        <f t="shared" si="59"/>
        <v>0</v>
      </c>
      <c r="R749" s="8">
        <f t="shared" si="60"/>
        <v>0</v>
      </c>
    </row>
    <row r="750" spans="1:18">
      <c r="A750" s="6"/>
      <c r="B750" t="str">
        <f t="shared" si="56"/>
        <v/>
      </c>
      <c r="C750" t="str">
        <f t="shared" si="57"/>
        <v/>
      </c>
      <c r="E750" t="str">
        <f>IFERROR(VLOOKUP(D750,Cadastro!$B$4:$H$100,2,FALSE),"")</f>
        <v/>
      </c>
      <c r="F750" t="str">
        <f>IFERROR(VLOOKUP(D750,Cadastro!$B$4:$H$100,3,FALSE),"")</f>
        <v/>
      </c>
      <c r="J750" s="7"/>
      <c r="K750" s="7"/>
      <c r="L750" s="7"/>
      <c r="M750" s="7"/>
      <c r="N750" s="7"/>
      <c r="O750" s="7"/>
      <c r="P750" s="8">
        <f t="shared" si="58"/>
        <v>0</v>
      </c>
      <c r="Q750" s="8">
        <f t="shared" si="59"/>
        <v>0</v>
      </c>
      <c r="R750" s="8">
        <f t="shared" si="60"/>
        <v>0</v>
      </c>
    </row>
    <row r="751" spans="1:18">
      <c r="A751" s="6"/>
      <c r="B751" t="str">
        <f t="shared" si="56"/>
        <v/>
      </c>
      <c r="C751" t="str">
        <f t="shared" si="57"/>
        <v/>
      </c>
      <c r="E751" t="str">
        <f>IFERROR(VLOOKUP(D751,Cadastro!$B$4:$H$100,2,FALSE),"")</f>
        <v/>
      </c>
      <c r="F751" t="str">
        <f>IFERROR(VLOOKUP(D751,Cadastro!$B$4:$H$100,3,FALSE),"")</f>
        <v/>
      </c>
      <c r="J751" s="7"/>
      <c r="K751" s="7"/>
      <c r="L751" s="7"/>
      <c r="M751" s="7"/>
      <c r="N751" s="7"/>
      <c r="O751" s="7"/>
      <c r="P751" s="8">
        <f t="shared" si="58"/>
        <v>0</v>
      </c>
      <c r="Q751" s="8">
        <f t="shared" si="59"/>
        <v>0</v>
      </c>
      <c r="R751" s="8">
        <f t="shared" si="60"/>
        <v>0</v>
      </c>
    </row>
    <row r="752" spans="1:18">
      <c r="A752" s="6"/>
      <c r="B752" t="str">
        <f t="shared" si="56"/>
        <v/>
      </c>
      <c r="C752" t="str">
        <f t="shared" si="57"/>
        <v/>
      </c>
      <c r="E752" t="str">
        <f>IFERROR(VLOOKUP(D752,Cadastro!$B$4:$H$100,2,FALSE),"")</f>
        <v/>
      </c>
      <c r="F752" t="str">
        <f>IFERROR(VLOOKUP(D752,Cadastro!$B$4:$H$100,3,FALSE),"")</f>
        <v/>
      </c>
      <c r="J752" s="7"/>
      <c r="K752" s="7"/>
      <c r="L752" s="7"/>
      <c r="M752" s="7"/>
      <c r="N752" s="7"/>
      <c r="O752" s="7"/>
      <c r="P752" s="8">
        <f t="shared" si="58"/>
        <v>0</v>
      </c>
      <c r="Q752" s="8">
        <f t="shared" si="59"/>
        <v>0</v>
      </c>
      <c r="R752" s="8">
        <f t="shared" si="60"/>
        <v>0</v>
      </c>
    </row>
    <row r="753" spans="1:18">
      <c r="A753" s="6"/>
      <c r="B753" t="str">
        <f t="shared" si="56"/>
        <v/>
      </c>
      <c r="C753" t="str">
        <f t="shared" si="57"/>
        <v/>
      </c>
      <c r="E753" t="str">
        <f>IFERROR(VLOOKUP(D753,Cadastro!$B$4:$H$100,2,FALSE),"")</f>
        <v/>
      </c>
      <c r="F753" t="str">
        <f>IFERROR(VLOOKUP(D753,Cadastro!$B$4:$H$100,3,FALSE),"")</f>
        <v/>
      </c>
      <c r="J753" s="7"/>
      <c r="K753" s="7"/>
      <c r="L753" s="7"/>
      <c r="M753" s="7"/>
      <c r="N753" s="7"/>
      <c r="O753" s="7"/>
      <c r="P753" s="8">
        <f t="shared" si="58"/>
        <v>0</v>
      </c>
      <c r="Q753" s="8">
        <f t="shared" si="59"/>
        <v>0</v>
      </c>
      <c r="R753" s="8">
        <f t="shared" si="60"/>
        <v>0</v>
      </c>
    </row>
    <row r="754" spans="1:18">
      <c r="A754" s="6"/>
      <c r="B754" t="str">
        <f t="shared" si="56"/>
        <v/>
      </c>
      <c r="C754" t="str">
        <f t="shared" si="57"/>
        <v/>
      </c>
      <c r="E754" t="str">
        <f>IFERROR(VLOOKUP(D754,Cadastro!$B$4:$H$100,2,FALSE),"")</f>
        <v/>
      </c>
      <c r="F754" t="str">
        <f>IFERROR(VLOOKUP(D754,Cadastro!$B$4:$H$100,3,FALSE),"")</f>
        <v/>
      </c>
      <c r="J754" s="7"/>
      <c r="K754" s="7"/>
      <c r="L754" s="7"/>
      <c r="M754" s="7"/>
      <c r="N754" s="7"/>
      <c r="O754" s="7"/>
      <c r="P754" s="8">
        <f t="shared" si="58"/>
        <v>0</v>
      </c>
      <c r="Q754" s="8">
        <f t="shared" si="59"/>
        <v>0</v>
      </c>
      <c r="R754" s="8">
        <f t="shared" si="60"/>
        <v>0</v>
      </c>
    </row>
    <row r="755" spans="1:18">
      <c r="A755" s="6"/>
      <c r="B755" t="str">
        <f t="shared" si="56"/>
        <v/>
      </c>
      <c r="C755" t="str">
        <f t="shared" si="57"/>
        <v/>
      </c>
      <c r="E755" t="str">
        <f>IFERROR(VLOOKUP(D755,Cadastro!$B$4:$H$100,2,FALSE),"")</f>
        <v/>
      </c>
      <c r="F755" t="str">
        <f>IFERROR(VLOOKUP(D755,Cadastro!$B$4:$H$100,3,FALSE),"")</f>
        <v/>
      </c>
      <c r="J755" s="7"/>
      <c r="K755" s="7"/>
      <c r="L755" s="7"/>
      <c r="M755" s="7"/>
      <c r="N755" s="7"/>
      <c r="O755" s="7"/>
      <c r="P755" s="8">
        <f t="shared" si="58"/>
        <v>0</v>
      </c>
      <c r="Q755" s="8">
        <f t="shared" si="59"/>
        <v>0</v>
      </c>
      <c r="R755" s="8">
        <f t="shared" si="60"/>
        <v>0</v>
      </c>
    </row>
    <row r="756" spans="1:18">
      <c r="A756" s="6"/>
      <c r="B756" t="str">
        <f t="shared" si="56"/>
        <v/>
      </c>
      <c r="C756" t="str">
        <f t="shared" si="57"/>
        <v/>
      </c>
      <c r="E756" t="str">
        <f>IFERROR(VLOOKUP(D756,Cadastro!$B$4:$H$100,2,FALSE),"")</f>
        <v/>
      </c>
      <c r="F756" t="str">
        <f>IFERROR(VLOOKUP(D756,Cadastro!$B$4:$H$100,3,FALSE),"")</f>
        <v/>
      </c>
      <c r="J756" s="7"/>
      <c r="K756" s="7"/>
      <c r="L756" s="7"/>
      <c r="M756" s="7"/>
      <c r="N756" s="7"/>
      <c r="O756" s="7"/>
      <c r="P756" s="8">
        <f t="shared" si="58"/>
        <v>0</v>
      </c>
      <c r="Q756" s="8">
        <f t="shared" si="59"/>
        <v>0</v>
      </c>
      <c r="R756" s="8">
        <f t="shared" si="60"/>
        <v>0</v>
      </c>
    </row>
    <row r="757" spans="1:18">
      <c r="A757" s="6"/>
      <c r="B757" t="str">
        <f t="shared" si="56"/>
        <v/>
      </c>
      <c r="C757" t="str">
        <f t="shared" si="57"/>
        <v/>
      </c>
      <c r="E757" t="str">
        <f>IFERROR(VLOOKUP(D757,Cadastro!$B$4:$H$100,2,FALSE),"")</f>
        <v/>
      </c>
      <c r="F757" t="str">
        <f>IFERROR(VLOOKUP(D757,Cadastro!$B$4:$H$100,3,FALSE),"")</f>
        <v/>
      </c>
      <c r="J757" s="7"/>
      <c r="K757" s="7"/>
      <c r="L757" s="7"/>
      <c r="M757" s="7"/>
      <c r="N757" s="7"/>
      <c r="O757" s="7"/>
      <c r="P757" s="8">
        <f t="shared" si="58"/>
        <v>0</v>
      </c>
      <c r="Q757" s="8">
        <f t="shared" si="59"/>
        <v>0</v>
      </c>
      <c r="R757" s="8">
        <f t="shared" si="60"/>
        <v>0</v>
      </c>
    </row>
    <row r="758" spans="1:18">
      <c r="A758" s="6"/>
      <c r="B758" t="str">
        <f t="shared" si="56"/>
        <v/>
      </c>
      <c r="C758" t="str">
        <f t="shared" si="57"/>
        <v/>
      </c>
      <c r="E758" t="str">
        <f>IFERROR(VLOOKUP(D758,Cadastro!$B$4:$H$100,2,FALSE),"")</f>
        <v/>
      </c>
      <c r="F758" t="str">
        <f>IFERROR(VLOOKUP(D758,Cadastro!$B$4:$H$100,3,FALSE),"")</f>
        <v/>
      </c>
      <c r="J758" s="7"/>
      <c r="K758" s="7"/>
      <c r="L758" s="7"/>
      <c r="M758" s="7"/>
      <c r="N758" s="7"/>
      <c r="O758" s="7"/>
      <c r="P758" s="8">
        <f t="shared" si="58"/>
        <v>0</v>
      </c>
      <c r="Q758" s="8">
        <f t="shared" si="59"/>
        <v>0</v>
      </c>
      <c r="R758" s="8">
        <f t="shared" si="60"/>
        <v>0</v>
      </c>
    </row>
    <row r="759" spans="1:18">
      <c r="A759" s="6"/>
      <c r="B759" t="str">
        <f t="shared" si="56"/>
        <v/>
      </c>
      <c r="C759" t="str">
        <f t="shared" si="57"/>
        <v/>
      </c>
      <c r="E759" t="str">
        <f>IFERROR(VLOOKUP(D759,Cadastro!$B$4:$H$100,2,FALSE),"")</f>
        <v/>
      </c>
      <c r="F759" t="str">
        <f>IFERROR(VLOOKUP(D759,Cadastro!$B$4:$H$100,3,FALSE),"")</f>
        <v/>
      </c>
      <c r="J759" s="7"/>
      <c r="K759" s="7"/>
      <c r="L759" s="7"/>
      <c r="M759" s="7"/>
      <c r="N759" s="7"/>
      <c r="O759" s="7"/>
      <c r="P759" s="8">
        <f t="shared" si="58"/>
        <v>0</v>
      </c>
      <c r="Q759" s="8">
        <f t="shared" si="59"/>
        <v>0</v>
      </c>
      <c r="R759" s="8">
        <f t="shared" si="60"/>
        <v>0</v>
      </c>
    </row>
    <row r="760" spans="1:18">
      <c r="A760" s="6"/>
      <c r="B760" t="str">
        <f t="shared" si="56"/>
        <v/>
      </c>
      <c r="C760" t="str">
        <f t="shared" si="57"/>
        <v/>
      </c>
      <c r="E760" t="str">
        <f>IFERROR(VLOOKUP(D760,Cadastro!$B$4:$H$100,2,FALSE),"")</f>
        <v/>
      </c>
      <c r="F760" t="str">
        <f>IFERROR(VLOOKUP(D760,Cadastro!$B$4:$H$100,3,FALSE),"")</f>
        <v/>
      </c>
      <c r="J760" s="7"/>
      <c r="K760" s="7"/>
      <c r="L760" s="7"/>
      <c r="M760" s="7"/>
      <c r="N760" s="7"/>
      <c r="O760" s="7"/>
      <c r="P760" s="8">
        <f t="shared" si="58"/>
        <v>0</v>
      </c>
      <c r="Q760" s="8">
        <f t="shared" si="59"/>
        <v>0</v>
      </c>
      <c r="R760" s="8">
        <f t="shared" si="60"/>
        <v>0</v>
      </c>
    </row>
    <row r="761" spans="1:18">
      <c r="A761" s="6"/>
      <c r="B761" t="str">
        <f t="shared" si="56"/>
        <v/>
      </c>
      <c r="C761" t="str">
        <f t="shared" si="57"/>
        <v/>
      </c>
      <c r="E761" t="str">
        <f>IFERROR(VLOOKUP(D761,Cadastro!$B$4:$H$100,2,FALSE),"")</f>
        <v/>
      </c>
      <c r="F761" t="str">
        <f>IFERROR(VLOOKUP(D761,Cadastro!$B$4:$H$100,3,FALSE),"")</f>
        <v/>
      </c>
      <c r="J761" s="7"/>
      <c r="K761" s="7"/>
      <c r="L761" s="7"/>
      <c r="M761" s="7"/>
      <c r="N761" s="7"/>
      <c r="O761" s="7"/>
      <c r="P761" s="8">
        <f t="shared" si="58"/>
        <v>0</v>
      </c>
      <c r="Q761" s="8">
        <f t="shared" si="59"/>
        <v>0</v>
      </c>
      <c r="R761" s="8">
        <f t="shared" si="60"/>
        <v>0</v>
      </c>
    </row>
    <row r="762" spans="1:18">
      <c r="A762" s="6"/>
      <c r="B762" t="str">
        <f t="shared" si="56"/>
        <v/>
      </c>
      <c r="C762" t="str">
        <f t="shared" si="57"/>
        <v/>
      </c>
      <c r="E762" t="str">
        <f>IFERROR(VLOOKUP(D762,Cadastro!$B$4:$H$100,2,FALSE),"")</f>
        <v/>
      </c>
      <c r="F762" t="str">
        <f>IFERROR(VLOOKUP(D762,Cadastro!$B$4:$H$100,3,FALSE),"")</f>
        <v/>
      </c>
      <c r="J762" s="7"/>
      <c r="K762" s="7"/>
      <c r="L762" s="7"/>
      <c r="M762" s="7"/>
      <c r="N762" s="7"/>
      <c r="O762" s="7"/>
      <c r="P762" s="8">
        <f t="shared" si="58"/>
        <v>0</v>
      </c>
      <c r="Q762" s="8">
        <f t="shared" si="59"/>
        <v>0</v>
      </c>
      <c r="R762" s="8">
        <f t="shared" si="60"/>
        <v>0</v>
      </c>
    </row>
    <row r="763" spans="1:18">
      <c r="A763" s="6"/>
      <c r="B763" t="str">
        <f t="shared" si="56"/>
        <v/>
      </c>
      <c r="C763" t="str">
        <f t="shared" si="57"/>
        <v/>
      </c>
      <c r="E763" t="str">
        <f>IFERROR(VLOOKUP(D763,Cadastro!$B$4:$H$100,2,FALSE),"")</f>
        <v/>
      </c>
      <c r="F763" t="str">
        <f>IFERROR(VLOOKUP(D763,Cadastro!$B$4:$H$100,3,FALSE),"")</f>
        <v/>
      </c>
      <c r="J763" s="7"/>
      <c r="K763" s="7"/>
      <c r="L763" s="7"/>
      <c r="M763" s="7"/>
      <c r="N763" s="7"/>
      <c r="O763" s="7"/>
      <c r="P763" s="8">
        <f t="shared" si="58"/>
        <v>0</v>
      </c>
      <c r="Q763" s="8">
        <f t="shared" si="59"/>
        <v>0</v>
      </c>
      <c r="R763" s="8">
        <f t="shared" si="60"/>
        <v>0</v>
      </c>
    </row>
    <row r="764" spans="1:18">
      <c r="A764" s="6"/>
      <c r="B764" t="str">
        <f t="shared" si="56"/>
        <v/>
      </c>
      <c r="C764" t="str">
        <f t="shared" si="57"/>
        <v/>
      </c>
      <c r="E764" t="str">
        <f>IFERROR(VLOOKUP(D764,Cadastro!$B$4:$H$100,2,FALSE),"")</f>
        <v/>
      </c>
      <c r="F764" t="str">
        <f>IFERROR(VLOOKUP(D764,Cadastro!$B$4:$H$100,3,FALSE),"")</f>
        <v/>
      </c>
      <c r="J764" s="7"/>
      <c r="K764" s="7"/>
      <c r="L764" s="7"/>
      <c r="M764" s="7"/>
      <c r="N764" s="7"/>
      <c r="O764" s="7"/>
      <c r="P764" s="8">
        <f t="shared" si="58"/>
        <v>0</v>
      </c>
      <c r="Q764" s="8">
        <f t="shared" si="59"/>
        <v>0</v>
      </c>
      <c r="R764" s="8">
        <f t="shared" si="60"/>
        <v>0</v>
      </c>
    </row>
    <row r="765" spans="1:18">
      <c r="A765" s="6"/>
      <c r="B765" t="str">
        <f t="shared" si="56"/>
        <v/>
      </c>
      <c r="C765" t="str">
        <f t="shared" si="57"/>
        <v/>
      </c>
      <c r="E765" t="str">
        <f>IFERROR(VLOOKUP(D765,Cadastro!$B$4:$H$100,2,FALSE),"")</f>
        <v/>
      </c>
      <c r="F765" t="str">
        <f>IFERROR(VLOOKUP(D765,Cadastro!$B$4:$H$100,3,FALSE),"")</f>
        <v/>
      </c>
      <c r="J765" s="7"/>
      <c r="K765" s="7"/>
      <c r="L765" s="7"/>
      <c r="M765" s="7"/>
      <c r="N765" s="7"/>
      <c r="O765" s="7"/>
      <c r="P765" s="8">
        <f t="shared" si="58"/>
        <v>0</v>
      </c>
      <c r="Q765" s="8">
        <f t="shared" si="59"/>
        <v>0</v>
      </c>
      <c r="R765" s="8">
        <f t="shared" si="60"/>
        <v>0</v>
      </c>
    </row>
    <row r="766" spans="1:18">
      <c r="A766" s="6"/>
      <c r="B766" t="str">
        <f t="shared" si="56"/>
        <v/>
      </c>
      <c r="C766" t="str">
        <f t="shared" si="57"/>
        <v/>
      </c>
      <c r="E766" t="str">
        <f>IFERROR(VLOOKUP(D766,Cadastro!$B$4:$H$100,2,FALSE),"")</f>
        <v/>
      </c>
      <c r="F766" t="str">
        <f>IFERROR(VLOOKUP(D766,Cadastro!$B$4:$H$100,3,FALSE),"")</f>
        <v/>
      </c>
      <c r="J766" s="7"/>
      <c r="K766" s="7"/>
      <c r="L766" s="7"/>
      <c r="M766" s="7"/>
      <c r="N766" s="7"/>
      <c r="O766" s="7"/>
      <c r="P766" s="8">
        <f t="shared" si="58"/>
        <v>0</v>
      </c>
      <c r="Q766" s="8">
        <f t="shared" si="59"/>
        <v>0</v>
      </c>
      <c r="R766" s="8">
        <f t="shared" si="60"/>
        <v>0</v>
      </c>
    </row>
    <row r="767" spans="1:18">
      <c r="A767" s="6"/>
      <c r="B767" t="str">
        <f t="shared" si="56"/>
        <v/>
      </c>
      <c r="C767" t="str">
        <f t="shared" si="57"/>
        <v/>
      </c>
      <c r="E767" t="str">
        <f>IFERROR(VLOOKUP(D767,Cadastro!$B$4:$H$100,2,FALSE),"")</f>
        <v/>
      </c>
      <c r="F767" t="str">
        <f>IFERROR(VLOOKUP(D767,Cadastro!$B$4:$H$100,3,FALSE),"")</f>
        <v/>
      </c>
      <c r="J767" s="7"/>
      <c r="K767" s="7"/>
      <c r="L767" s="7"/>
      <c r="M767" s="7"/>
      <c r="N767" s="7"/>
      <c r="O767" s="7"/>
      <c r="P767" s="8">
        <f t="shared" si="58"/>
        <v>0</v>
      </c>
      <c r="Q767" s="8">
        <f t="shared" si="59"/>
        <v>0</v>
      </c>
      <c r="R767" s="8">
        <f t="shared" si="60"/>
        <v>0</v>
      </c>
    </row>
    <row r="768" spans="1:18">
      <c r="A768" s="6"/>
      <c r="B768" t="str">
        <f t="shared" si="56"/>
        <v/>
      </c>
      <c r="C768" t="str">
        <f t="shared" si="57"/>
        <v/>
      </c>
      <c r="E768" t="str">
        <f>IFERROR(VLOOKUP(D768,Cadastro!$B$4:$H$100,2,FALSE),"")</f>
        <v/>
      </c>
      <c r="F768" t="str">
        <f>IFERROR(VLOOKUP(D768,Cadastro!$B$4:$H$100,3,FALSE),"")</f>
        <v/>
      </c>
      <c r="J768" s="7"/>
      <c r="K768" s="7"/>
      <c r="L768" s="7"/>
      <c r="M768" s="7"/>
      <c r="N768" s="7"/>
      <c r="O768" s="7"/>
      <c r="P768" s="8">
        <f t="shared" si="58"/>
        <v>0</v>
      </c>
      <c r="Q768" s="8">
        <f t="shared" si="59"/>
        <v>0</v>
      </c>
      <c r="R768" s="8">
        <f t="shared" si="60"/>
        <v>0</v>
      </c>
    </row>
    <row r="769" spans="1:18">
      <c r="A769" s="6"/>
      <c r="B769" t="str">
        <f t="shared" si="56"/>
        <v/>
      </c>
      <c r="C769" t="str">
        <f t="shared" si="57"/>
        <v/>
      </c>
      <c r="E769" t="str">
        <f>IFERROR(VLOOKUP(D769,Cadastro!$B$4:$H$100,2,FALSE),"")</f>
        <v/>
      </c>
      <c r="F769" t="str">
        <f>IFERROR(VLOOKUP(D769,Cadastro!$B$4:$H$100,3,FALSE),"")</f>
        <v/>
      </c>
      <c r="J769" s="7"/>
      <c r="K769" s="7"/>
      <c r="L769" s="7"/>
      <c r="M769" s="7"/>
      <c r="N769" s="7"/>
      <c r="O769" s="7"/>
      <c r="P769" s="8">
        <f t="shared" si="58"/>
        <v>0</v>
      </c>
      <c r="Q769" s="8">
        <f t="shared" si="59"/>
        <v>0</v>
      </c>
      <c r="R769" s="8">
        <f t="shared" si="60"/>
        <v>0</v>
      </c>
    </row>
    <row r="770" spans="1:18">
      <c r="A770" s="6"/>
      <c r="B770" t="str">
        <f t="shared" si="56"/>
        <v/>
      </c>
      <c r="C770" t="str">
        <f t="shared" si="57"/>
        <v/>
      </c>
      <c r="E770" t="str">
        <f>IFERROR(VLOOKUP(D770,Cadastro!$B$4:$H$100,2,FALSE),"")</f>
        <v/>
      </c>
      <c r="F770" t="str">
        <f>IFERROR(VLOOKUP(D770,Cadastro!$B$4:$H$100,3,FALSE),"")</f>
        <v/>
      </c>
      <c r="J770" s="7"/>
      <c r="K770" s="7"/>
      <c r="L770" s="7"/>
      <c r="M770" s="7"/>
      <c r="N770" s="7"/>
      <c r="O770" s="7"/>
      <c r="P770" s="8">
        <f t="shared" si="58"/>
        <v>0</v>
      </c>
      <c r="Q770" s="8">
        <f t="shared" si="59"/>
        <v>0</v>
      </c>
      <c r="R770" s="8">
        <f t="shared" si="60"/>
        <v>0</v>
      </c>
    </row>
    <row r="771" spans="1:18">
      <c r="A771" s="6"/>
      <c r="B771" t="str">
        <f t="shared" si="56"/>
        <v/>
      </c>
      <c r="C771" t="str">
        <f t="shared" si="57"/>
        <v/>
      </c>
      <c r="E771" t="str">
        <f>IFERROR(VLOOKUP(D771,Cadastro!$B$4:$H$100,2,FALSE),"")</f>
        <v/>
      </c>
      <c r="F771" t="str">
        <f>IFERROR(VLOOKUP(D771,Cadastro!$B$4:$H$100,3,FALSE),"")</f>
        <v/>
      </c>
      <c r="J771" s="7"/>
      <c r="K771" s="7"/>
      <c r="L771" s="7"/>
      <c r="M771" s="7"/>
      <c r="N771" s="7"/>
      <c r="O771" s="7"/>
      <c r="P771" s="8">
        <f t="shared" si="58"/>
        <v>0</v>
      </c>
      <c r="Q771" s="8">
        <f t="shared" si="59"/>
        <v>0</v>
      </c>
      <c r="R771" s="8">
        <f t="shared" si="60"/>
        <v>0</v>
      </c>
    </row>
    <row r="772" spans="1:18">
      <c r="A772" s="6"/>
      <c r="B772" t="str">
        <f t="shared" ref="B772:B835" si="61">IF(A772="","",YEAR(A772))</f>
        <v/>
      </c>
      <c r="C772" t="str">
        <f t="shared" ref="C772:C835" si="62">IF(A772="","",TEXT(A772,"mmmm"))</f>
        <v/>
      </c>
      <c r="E772" t="str">
        <f>IFERROR(VLOOKUP(D772,Cadastro!$B$4:$H$100,2,FALSE),"")</f>
        <v/>
      </c>
      <c r="F772" t="str">
        <f>IFERROR(VLOOKUP(D772,Cadastro!$B$4:$H$100,3,FALSE),"")</f>
        <v/>
      </c>
      <c r="J772" s="7"/>
      <c r="K772" s="7"/>
      <c r="L772" s="7"/>
      <c r="M772" s="7"/>
      <c r="N772" s="7"/>
      <c r="O772" s="7"/>
      <c r="P772" s="8">
        <f t="shared" ref="P772:P835" si="63">IF(OR(J772="",K772=""),0,(K772-J772)*24)+IF(OR(L772="",M772=""),0,(M772-L772)*24)+IF(OR(N772="",O772=""),0,(O772-N772)*24)</f>
        <v>0</v>
      </c>
      <c r="Q772" s="8">
        <f t="shared" ref="Q772:Q835" si="64">IF(OR(I772="Prática",I772="Teórico-prática"),P772,0)</f>
        <v>0</v>
      </c>
      <c r="R772" s="8">
        <f t="shared" ref="R772:R835" si="65">IF(OR(I772="Teórica",I772="Teórico-prática"),P772,0)</f>
        <v>0</v>
      </c>
    </row>
    <row r="773" spans="1:18">
      <c r="A773" s="6"/>
      <c r="B773" t="str">
        <f t="shared" si="61"/>
        <v/>
      </c>
      <c r="C773" t="str">
        <f t="shared" si="62"/>
        <v/>
      </c>
      <c r="E773" t="str">
        <f>IFERROR(VLOOKUP(D773,Cadastro!$B$4:$H$100,2,FALSE),"")</f>
        <v/>
      </c>
      <c r="F773" t="str">
        <f>IFERROR(VLOOKUP(D773,Cadastro!$B$4:$H$100,3,FALSE),"")</f>
        <v/>
      </c>
      <c r="J773" s="7"/>
      <c r="K773" s="7"/>
      <c r="L773" s="7"/>
      <c r="M773" s="7"/>
      <c r="N773" s="7"/>
      <c r="O773" s="7"/>
      <c r="P773" s="8">
        <f t="shared" si="63"/>
        <v>0</v>
      </c>
      <c r="Q773" s="8">
        <f t="shared" si="64"/>
        <v>0</v>
      </c>
      <c r="R773" s="8">
        <f t="shared" si="65"/>
        <v>0</v>
      </c>
    </row>
    <row r="774" spans="1:18">
      <c r="A774" s="6"/>
      <c r="B774" t="str">
        <f t="shared" si="61"/>
        <v/>
      </c>
      <c r="C774" t="str">
        <f t="shared" si="62"/>
        <v/>
      </c>
      <c r="E774" t="str">
        <f>IFERROR(VLOOKUP(D774,Cadastro!$B$4:$H$100,2,FALSE),"")</f>
        <v/>
      </c>
      <c r="F774" t="str">
        <f>IFERROR(VLOOKUP(D774,Cadastro!$B$4:$H$100,3,FALSE),"")</f>
        <v/>
      </c>
      <c r="J774" s="7"/>
      <c r="K774" s="7"/>
      <c r="L774" s="7"/>
      <c r="M774" s="7"/>
      <c r="N774" s="7"/>
      <c r="O774" s="7"/>
      <c r="P774" s="8">
        <f t="shared" si="63"/>
        <v>0</v>
      </c>
      <c r="Q774" s="8">
        <f t="shared" si="64"/>
        <v>0</v>
      </c>
      <c r="R774" s="8">
        <f t="shared" si="65"/>
        <v>0</v>
      </c>
    </row>
    <row r="775" spans="1:18">
      <c r="A775" s="6"/>
      <c r="B775" t="str">
        <f t="shared" si="61"/>
        <v/>
      </c>
      <c r="C775" t="str">
        <f t="shared" si="62"/>
        <v/>
      </c>
      <c r="E775" t="str">
        <f>IFERROR(VLOOKUP(D775,Cadastro!$B$4:$H$100,2,FALSE),"")</f>
        <v/>
      </c>
      <c r="F775" t="str">
        <f>IFERROR(VLOOKUP(D775,Cadastro!$B$4:$H$100,3,FALSE),"")</f>
        <v/>
      </c>
      <c r="J775" s="7"/>
      <c r="K775" s="7"/>
      <c r="L775" s="7"/>
      <c r="M775" s="7"/>
      <c r="N775" s="7"/>
      <c r="O775" s="7"/>
      <c r="P775" s="8">
        <f t="shared" si="63"/>
        <v>0</v>
      </c>
      <c r="Q775" s="8">
        <f t="shared" si="64"/>
        <v>0</v>
      </c>
      <c r="R775" s="8">
        <f t="shared" si="65"/>
        <v>0</v>
      </c>
    </row>
    <row r="776" spans="1:18">
      <c r="A776" s="6"/>
      <c r="B776" t="str">
        <f t="shared" si="61"/>
        <v/>
      </c>
      <c r="C776" t="str">
        <f t="shared" si="62"/>
        <v/>
      </c>
      <c r="E776" t="str">
        <f>IFERROR(VLOOKUP(D776,Cadastro!$B$4:$H$100,2,FALSE),"")</f>
        <v/>
      </c>
      <c r="F776" t="str">
        <f>IFERROR(VLOOKUP(D776,Cadastro!$B$4:$H$100,3,FALSE),"")</f>
        <v/>
      </c>
      <c r="J776" s="7"/>
      <c r="K776" s="7"/>
      <c r="L776" s="7"/>
      <c r="M776" s="7"/>
      <c r="N776" s="7"/>
      <c r="O776" s="7"/>
      <c r="P776" s="8">
        <f t="shared" si="63"/>
        <v>0</v>
      </c>
      <c r="Q776" s="8">
        <f t="shared" si="64"/>
        <v>0</v>
      </c>
      <c r="R776" s="8">
        <f t="shared" si="65"/>
        <v>0</v>
      </c>
    </row>
    <row r="777" spans="1:18">
      <c r="A777" s="6"/>
      <c r="B777" t="str">
        <f t="shared" si="61"/>
        <v/>
      </c>
      <c r="C777" t="str">
        <f t="shared" si="62"/>
        <v/>
      </c>
      <c r="E777" t="str">
        <f>IFERROR(VLOOKUP(D777,Cadastro!$B$4:$H$100,2,FALSE),"")</f>
        <v/>
      </c>
      <c r="F777" t="str">
        <f>IFERROR(VLOOKUP(D777,Cadastro!$B$4:$H$100,3,FALSE),"")</f>
        <v/>
      </c>
      <c r="J777" s="7"/>
      <c r="K777" s="7"/>
      <c r="L777" s="7"/>
      <c r="M777" s="7"/>
      <c r="N777" s="7"/>
      <c r="O777" s="7"/>
      <c r="P777" s="8">
        <f t="shared" si="63"/>
        <v>0</v>
      </c>
      <c r="Q777" s="8">
        <f t="shared" si="64"/>
        <v>0</v>
      </c>
      <c r="R777" s="8">
        <f t="shared" si="65"/>
        <v>0</v>
      </c>
    </row>
    <row r="778" spans="1:18">
      <c r="A778" s="6"/>
      <c r="B778" t="str">
        <f t="shared" si="61"/>
        <v/>
      </c>
      <c r="C778" t="str">
        <f t="shared" si="62"/>
        <v/>
      </c>
      <c r="E778" t="str">
        <f>IFERROR(VLOOKUP(D778,Cadastro!$B$4:$H$100,2,FALSE),"")</f>
        <v/>
      </c>
      <c r="F778" t="str">
        <f>IFERROR(VLOOKUP(D778,Cadastro!$B$4:$H$100,3,FALSE),"")</f>
        <v/>
      </c>
      <c r="J778" s="7"/>
      <c r="K778" s="7"/>
      <c r="L778" s="7"/>
      <c r="M778" s="7"/>
      <c r="N778" s="7"/>
      <c r="O778" s="7"/>
      <c r="P778" s="8">
        <f t="shared" si="63"/>
        <v>0</v>
      </c>
      <c r="Q778" s="8">
        <f t="shared" si="64"/>
        <v>0</v>
      </c>
      <c r="R778" s="8">
        <f t="shared" si="65"/>
        <v>0</v>
      </c>
    </row>
    <row r="779" spans="1:18">
      <c r="A779" s="6"/>
      <c r="B779" t="str">
        <f t="shared" si="61"/>
        <v/>
      </c>
      <c r="C779" t="str">
        <f t="shared" si="62"/>
        <v/>
      </c>
      <c r="E779" t="str">
        <f>IFERROR(VLOOKUP(D779,Cadastro!$B$4:$H$100,2,FALSE),"")</f>
        <v/>
      </c>
      <c r="F779" t="str">
        <f>IFERROR(VLOOKUP(D779,Cadastro!$B$4:$H$100,3,FALSE),"")</f>
        <v/>
      </c>
      <c r="J779" s="7"/>
      <c r="K779" s="7"/>
      <c r="L779" s="7"/>
      <c r="M779" s="7"/>
      <c r="N779" s="7"/>
      <c r="O779" s="7"/>
      <c r="P779" s="8">
        <f t="shared" si="63"/>
        <v>0</v>
      </c>
      <c r="Q779" s="8">
        <f t="shared" si="64"/>
        <v>0</v>
      </c>
      <c r="R779" s="8">
        <f t="shared" si="65"/>
        <v>0</v>
      </c>
    </row>
    <row r="780" spans="1:18">
      <c r="A780" s="6"/>
      <c r="B780" t="str">
        <f t="shared" si="61"/>
        <v/>
      </c>
      <c r="C780" t="str">
        <f t="shared" si="62"/>
        <v/>
      </c>
      <c r="E780" t="str">
        <f>IFERROR(VLOOKUP(D780,Cadastro!$B$4:$H$100,2,FALSE),"")</f>
        <v/>
      </c>
      <c r="F780" t="str">
        <f>IFERROR(VLOOKUP(D780,Cadastro!$B$4:$H$100,3,FALSE),"")</f>
        <v/>
      </c>
      <c r="J780" s="7"/>
      <c r="K780" s="7"/>
      <c r="L780" s="7"/>
      <c r="M780" s="7"/>
      <c r="N780" s="7"/>
      <c r="O780" s="7"/>
      <c r="P780" s="8">
        <f t="shared" si="63"/>
        <v>0</v>
      </c>
      <c r="Q780" s="8">
        <f t="shared" si="64"/>
        <v>0</v>
      </c>
      <c r="R780" s="8">
        <f t="shared" si="65"/>
        <v>0</v>
      </c>
    </row>
    <row r="781" spans="1:18">
      <c r="A781" s="6"/>
      <c r="B781" t="str">
        <f t="shared" si="61"/>
        <v/>
      </c>
      <c r="C781" t="str">
        <f t="shared" si="62"/>
        <v/>
      </c>
      <c r="E781" t="str">
        <f>IFERROR(VLOOKUP(D781,Cadastro!$B$4:$H$100,2,FALSE),"")</f>
        <v/>
      </c>
      <c r="F781" t="str">
        <f>IFERROR(VLOOKUP(D781,Cadastro!$B$4:$H$100,3,FALSE),"")</f>
        <v/>
      </c>
      <c r="J781" s="7"/>
      <c r="K781" s="7"/>
      <c r="L781" s="7"/>
      <c r="M781" s="7"/>
      <c r="N781" s="7"/>
      <c r="O781" s="7"/>
      <c r="P781" s="8">
        <f t="shared" si="63"/>
        <v>0</v>
      </c>
      <c r="Q781" s="8">
        <f t="shared" si="64"/>
        <v>0</v>
      </c>
      <c r="R781" s="8">
        <f t="shared" si="65"/>
        <v>0</v>
      </c>
    </row>
    <row r="782" spans="1:18">
      <c r="A782" s="6"/>
      <c r="B782" t="str">
        <f t="shared" si="61"/>
        <v/>
      </c>
      <c r="C782" t="str">
        <f t="shared" si="62"/>
        <v/>
      </c>
      <c r="E782" t="str">
        <f>IFERROR(VLOOKUP(D782,Cadastro!$B$4:$H$100,2,FALSE),"")</f>
        <v/>
      </c>
      <c r="F782" t="str">
        <f>IFERROR(VLOOKUP(D782,Cadastro!$B$4:$H$100,3,FALSE),"")</f>
        <v/>
      </c>
      <c r="J782" s="7"/>
      <c r="K782" s="7"/>
      <c r="L782" s="7"/>
      <c r="M782" s="7"/>
      <c r="N782" s="7"/>
      <c r="O782" s="7"/>
      <c r="P782" s="8">
        <f t="shared" si="63"/>
        <v>0</v>
      </c>
      <c r="Q782" s="8">
        <f t="shared" si="64"/>
        <v>0</v>
      </c>
      <c r="R782" s="8">
        <f t="shared" si="65"/>
        <v>0</v>
      </c>
    </row>
    <row r="783" spans="1:18">
      <c r="A783" s="6"/>
      <c r="B783" t="str">
        <f t="shared" si="61"/>
        <v/>
      </c>
      <c r="C783" t="str">
        <f t="shared" si="62"/>
        <v/>
      </c>
      <c r="E783" t="str">
        <f>IFERROR(VLOOKUP(D783,Cadastro!$B$4:$H$100,2,FALSE),"")</f>
        <v/>
      </c>
      <c r="F783" t="str">
        <f>IFERROR(VLOOKUP(D783,Cadastro!$B$4:$H$100,3,FALSE),"")</f>
        <v/>
      </c>
      <c r="J783" s="7"/>
      <c r="K783" s="7"/>
      <c r="L783" s="7"/>
      <c r="M783" s="7"/>
      <c r="N783" s="7"/>
      <c r="O783" s="7"/>
      <c r="P783" s="8">
        <f t="shared" si="63"/>
        <v>0</v>
      </c>
      <c r="Q783" s="8">
        <f t="shared" si="64"/>
        <v>0</v>
      </c>
      <c r="R783" s="8">
        <f t="shared" si="65"/>
        <v>0</v>
      </c>
    </row>
    <row r="784" spans="1:18">
      <c r="A784" s="6"/>
      <c r="B784" t="str">
        <f t="shared" si="61"/>
        <v/>
      </c>
      <c r="C784" t="str">
        <f t="shared" si="62"/>
        <v/>
      </c>
      <c r="E784" t="str">
        <f>IFERROR(VLOOKUP(D784,Cadastro!$B$4:$H$100,2,FALSE),"")</f>
        <v/>
      </c>
      <c r="F784" t="str">
        <f>IFERROR(VLOOKUP(D784,Cadastro!$B$4:$H$100,3,FALSE),"")</f>
        <v/>
      </c>
      <c r="J784" s="7"/>
      <c r="K784" s="7"/>
      <c r="L784" s="7"/>
      <c r="M784" s="7"/>
      <c r="N784" s="7"/>
      <c r="O784" s="7"/>
      <c r="P784" s="8">
        <f t="shared" si="63"/>
        <v>0</v>
      </c>
      <c r="Q784" s="8">
        <f t="shared" si="64"/>
        <v>0</v>
      </c>
      <c r="R784" s="8">
        <f t="shared" si="65"/>
        <v>0</v>
      </c>
    </row>
    <row r="785" spans="1:18">
      <c r="A785" s="6"/>
      <c r="B785" t="str">
        <f t="shared" si="61"/>
        <v/>
      </c>
      <c r="C785" t="str">
        <f t="shared" si="62"/>
        <v/>
      </c>
      <c r="E785" t="str">
        <f>IFERROR(VLOOKUP(D785,Cadastro!$B$4:$H$100,2,FALSE),"")</f>
        <v/>
      </c>
      <c r="F785" t="str">
        <f>IFERROR(VLOOKUP(D785,Cadastro!$B$4:$H$100,3,FALSE),"")</f>
        <v/>
      </c>
      <c r="J785" s="7"/>
      <c r="K785" s="7"/>
      <c r="L785" s="7"/>
      <c r="M785" s="7"/>
      <c r="N785" s="7"/>
      <c r="O785" s="7"/>
      <c r="P785" s="8">
        <f t="shared" si="63"/>
        <v>0</v>
      </c>
      <c r="Q785" s="8">
        <f t="shared" si="64"/>
        <v>0</v>
      </c>
      <c r="R785" s="8">
        <f t="shared" si="65"/>
        <v>0</v>
      </c>
    </row>
    <row r="786" spans="1:18">
      <c r="A786" s="6"/>
      <c r="B786" t="str">
        <f t="shared" si="61"/>
        <v/>
      </c>
      <c r="C786" t="str">
        <f t="shared" si="62"/>
        <v/>
      </c>
      <c r="E786" t="str">
        <f>IFERROR(VLOOKUP(D786,Cadastro!$B$4:$H$100,2,FALSE),"")</f>
        <v/>
      </c>
      <c r="F786" t="str">
        <f>IFERROR(VLOOKUP(D786,Cadastro!$B$4:$H$100,3,FALSE),"")</f>
        <v/>
      </c>
      <c r="J786" s="7"/>
      <c r="K786" s="7"/>
      <c r="L786" s="7"/>
      <c r="M786" s="7"/>
      <c r="N786" s="7"/>
      <c r="O786" s="7"/>
      <c r="P786" s="8">
        <f t="shared" si="63"/>
        <v>0</v>
      </c>
      <c r="Q786" s="8">
        <f t="shared" si="64"/>
        <v>0</v>
      </c>
      <c r="R786" s="8">
        <f t="shared" si="65"/>
        <v>0</v>
      </c>
    </row>
    <row r="787" spans="1:18">
      <c r="A787" s="6"/>
      <c r="B787" t="str">
        <f t="shared" si="61"/>
        <v/>
      </c>
      <c r="C787" t="str">
        <f t="shared" si="62"/>
        <v/>
      </c>
      <c r="E787" t="str">
        <f>IFERROR(VLOOKUP(D787,Cadastro!$B$4:$H$100,2,FALSE),"")</f>
        <v/>
      </c>
      <c r="F787" t="str">
        <f>IFERROR(VLOOKUP(D787,Cadastro!$B$4:$H$100,3,FALSE),"")</f>
        <v/>
      </c>
      <c r="J787" s="7"/>
      <c r="K787" s="7"/>
      <c r="L787" s="7"/>
      <c r="M787" s="7"/>
      <c r="N787" s="7"/>
      <c r="O787" s="7"/>
      <c r="P787" s="8">
        <f t="shared" si="63"/>
        <v>0</v>
      </c>
      <c r="Q787" s="8">
        <f t="shared" si="64"/>
        <v>0</v>
      </c>
      <c r="R787" s="8">
        <f t="shared" si="65"/>
        <v>0</v>
      </c>
    </row>
    <row r="788" spans="1:18">
      <c r="A788" s="6"/>
      <c r="B788" t="str">
        <f t="shared" si="61"/>
        <v/>
      </c>
      <c r="C788" t="str">
        <f t="shared" si="62"/>
        <v/>
      </c>
      <c r="E788" t="str">
        <f>IFERROR(VLOOKUP(D788,Cadastro!$B$4:$H$100,2,FALSE),"")</f>
        <v/>
      </c>
      <c r="F788" t="str">
        <f>IFERROR(VLOOKUP(D788,Cadastro!$B$4:$H$100,3,FALSE),"")</f>
        <v/>
      </c>
      <c r="J788" s="7"/>
      <c r="K788" s="7"/>
      <c r="L788" s="7"/>
      <c r="M788" s="7"/>
      <c r="N788" s="7"/>
      <c r="O788" s="7"/>
      <c r="P788" s="8">
        <f t="shared" si="63"/>
        <v>0</v>
      </c>
      <c r="Q788" s="8">
        <f t="shared" si="64"/>
        <v>0</v>
      </c>
      <c r="R788" s="8">
        <f t="shared" si="65"/>
        <v>0</v>
      </c>
    </row>
    <row r="789" spans="1:18">
      <c r="A789" s="6"/>
      <c r="B789" t="str">
        <f t="shared" si="61"/>
        <v/>
      </c>
      <c r="C789" t="str">
        <f t="shared" si="62"/>
        <v/>
      </c>
      <c r="E789" t="str">
        <f>IFERROR(VLOOKUP(D789,Cadastro!$B$4:$H$100,2,FALSE),"")</f>
        <v/>
      </c>
      <c r="F789" t="str">
        <f>IFERROR(VLOOKUP(D789,Cadastro!$B$4:$H$100,3,FALSE),"")</f>
        <v/>
      </c>
      <c r="J789" s="7"/>
      <c r="K789" s="7"/>
      <c r="L789" s="7"/>
      <c r="M789" s="7"/>
      <c r="N789" s="7"/>
      <c r="O789" s="7"/>
      <c r="P789" s="8">
        <f t="shared" si="63"/>
        <v>0</v>
      </c>
      <c r="Q789" s="8">
        <f t="shared" si="64"/>
        <v>0</v>
      </c>
      <c r="R789" s="8">
        <f t="shared" si="65"/>
        <v>0</v>
      </c>
    </row>
    <row r="790" spans="1:18">
      <c r="A790" s="6"/>
      <c r="B790" t="str">
        <f t="shared" si="61"/>
        <v/>
      </c>
      <c r="C790" t="str">
        <f t="shared" si="62"/>
        <v/>
      </c>
      <c r="E790" t="str">
        <f>IFERROR(VLOOKUP(D790,Cadastro!$B$4:$H$100,2,FALSE),"")</f>
        <v/>
      </c>
      <c r="F790" t="str">
        <f>IFERROR(VLOOKUP(D790,Cadastro!$B$4:$H$100,3,FALSE),"")</f>
        <v/>
      </c>
      <c r="J790" s="7"/>
      <c r="K790" s="7"/>
      <c r="L790" s="7"/>
      <c r="M790" s="7"/>
      <c r="N790" s="7"/>
      <c r="O790" s="7"/>
      <c r="P790" s="8">
        <f t="shared" si="63"/>
        <v>0</v>
      </c>
      <c r="Q790" s="8">
        <f t="shared" si="64"/>
        <v>0</v>
      </c>
      <c r="R790" s="8">
        <f t="shared" si="65"/>
        <v>0</v>
      </c>
    </row>
    <row r="791" spans="1:18">
      <c r="A791" s="6"/>
      <c r="B791" t="str">
        <f t="shared" si="61"/>
        <v/>
      </c>
      <c r="C791" t="str">
        <f t="shared" si="62"/>
        <v/>
      </c>
      <c r="E791" t="str">
        <f>IFERROR(VLOOKUP(D791,Cadastro!$B$4:$H$100,2,FALSE),"")</f>
        <v/>
      </c>
      <c r="F791" t="str">
        <f>IFERROR(VLOOKUP(D791,Cadastro!$B$4:$H$100,3,FALSE),"")</f>
        <v/>
      </c>
      <c r="J791" s="7"/>
      <c r="K791" s="7"/>
      <c r="L791" s="7"/>
      <c r="M791" s="7"/>
      <c r="N791" s="7"/>
      <c r="O791" s="7"/>
      <c r="P791" s="8">
        <f t="shared" si="63"/>
        <v>0</v>
      </c>
      <c r="Q791" s="8">
        <f t="shared" si="64"/>
        <v>0</v>
      </c>
      <c r="R791" s="8">
        <f t="shared" si="65"/>
        <v>0</v>
      </c>
    </row>
    <row r="792" spans="1:18">
      <c r="A792" s="6"/>
      <c r="B792" t="str">
        <f t="shared" si="61"/>
        <v/>
      </c>
      <c r="C792" t="str">
        <f t="shared" si="62"/>
        <v/>
      </c>
      <c r="E792" t="str">
        <f>IFERROR(VLOOKUP(D792,Cadastro!$B$4:$H$100,2,FALSE),"")</f>
        <v/>
      </c>
      <c r="F792" t="str">
        <f>IFERROR(VLOOKUP(D792,Cadastro!$B$4:$H$100,3,FALSE),"")</f>
        <v/>
      </c>
      <c r="J792" s="7"/>
      <c r="K792" s="7"/>
      <c r="L792" s="7"/>
      <c r="M792" s="7"/>
      <c r="N792" s="7"/>
      <c r="O792" s="7"/>
      <c r="P792" s="8">
        <f t="shared" si="63"/>
        <v>0</v>
      </c>
      <c r="Q792" s="8">
        <f t="shared" si="64"/>
        <v>0</v>
      </c>
      <c r="R792" s="8">
        <f t="shared" si="65"/>
        <v>0</v>
      </c>
    </row>
    <row r="793" spans="1:18">
      <c r="A793" s="6"/>
      <c r="B793" t="str">
        <f t="shared" si="61"/>
        <v/>
      </c>
      <c r="C793" t="str">
        <f t="shared" si="62"/>
        <v/>
      </c>
      <c r="E793" t="str">
        <f>IFERROR(VLOOKUP(D793,Cadastro!$B$4:$H$100,2,FALSE),"")</f>
        <v/>
      </c>
      <c r="F793" t="str">
        <f>IFERROR(VLOOKUP(D793,Cadastro!$B$4:$H$100,3,FALSE),"")</f>
        <v/>
      </c>
      <c r="J793" s="7"/>
      <c r="K793" s="7"/>
      <c r="L793" s="7"/>
      <c r="M793" s="7"/>
      <c r="N793" s="7"/>
      <c r="O793" s="7"/>
      <c r="P793" s="8">
        <f t="shared" si="63"/>
        <v>0</v>
      </c>
      <c r="Q793" s="8">
        <f t="shared" si="64"/>
        <v>0</v>
      </c>
      <c r="R793" s="8">
        <f t="shared" si="65"/>
        <v>0</v>
      </c>
    </row>
    <row r="794" spans="1:18">
      <c r="A794" s="6"/>
      <c r="B794" t="str">
        <f t="shared" si="61"/>
        <v/>
      </c>
      <c r="C794" t="str">
        <f t="shared" si="62"/>
        <v/>
      </c>
      <c r="E794" t="str">
        <f>IFERROR(VLOOKUP(D794,Cadastro!$B$4:$H$100,2,FALSE),"")</f>
        <v/>
      </c>
      <c r="F794" t="str">
        <f>IFERROR(VLOOKUP(D794,Cadastro!$B$4:$H$100,3,FALSE),"")</f>
        <v/>
      </c>
      <c r="J794" s="7"/>
      <c r="K794" s="7"/>
      <c r="L794" s="7"/>
      <c r="M794" s="7"/>
      <c r="N794" s="7"/>
      <c r="O794" s="7"/>
      <c r="P794" s="8">
        <f t="shared" si="63"/>
        <v>0</v>
      </c>
      <c r="Q794" s="8">
        <f t="shared" si="64"/>
        <v>0</v>
      </c>
      <c r="R794" s="8">
        <f t="shared" si="65"/>
        <v>0</v>
      </c>
    </row>
    <row r="795" spans="1:18">
      <c r="A795" s="6"/>
      <c r="B795" t="str">
        <f t="shared" si="61"/>
        <v/>
      </c>
      <c r="C795" t="str">
        <f t="shared" si="62"/>
        <v/>
      </c>
      <c r="E795" t="str">
        <f>IFERROR(VLOOKUP(D795,Cadastro!$B$4:$H$100,2,FALSE),"")</f>
        <v/>
      </c>
      <c r="F795" t="str">
        <f>IFERROR(VLOOKUP(D795,Cadastro!$B$4:$H$100,3,FALSE),"")</f>
        <v/>
      </c>
      <c r="J795" s="7"/>
      <c r="K795" s="7"/>
      <c r="L795" s="7"/>
      <c r="M795" s="7"/>
      <c r="N795" s="7"/>
      <c r="O795" s="7"/>
      <c r="P795" s="8">
        <f t="shared" si="63"/>
        <v>0</v>
      </c>
      <c r="Q795" s="8">
        <f t="shared" si="64"/>
        <v>0</v>
      </c>
      <c r="R795" s="8">
        <f t="shared" si="65"/>
        <v>0</v>
      </c>
    </row>
    <row r="796" spans="1:18">
      <c r="A796" s="6"/>
      <c r="B796" t="str">
        <f t="shared" si="61"/>
        <v/>
      </c>
      <c r="C796" t="str">
        <f t="shared" si="62"/>
        <v/>
      </c>
      <c r="E796" t="str">
        <f>IFERROR(VLOOKUP(D796,Cadastro!$B$4:$H$100,2,FALSE),"")</f>
        <v/>
      </c>
      <c r="F796" t="str">
        <f>IFERROR(VLOOKUP(D796,Cadastro!$B$4:$H$100,3,FALSE),"")</f>
        <v/>
      </c>
      <c r="J796" s="7"/>
      <c r="K796" s="7"/>
      <c r="L796" s="7"/>
      <c r="M796" s="7"/>
      <c r="N796" s="7"/>
      <c r="O796" s="7"/>
      <c r="P796" s="8">
        <f t="shared" si="63"/>
        <v>0</v>
      </c>
      <c r="Q796" s="8">
        <f t="shared" si="64"/>
        <v>0</v>
      </c>
      <c r="R796" s="8">
        <f t="shared" si="65"/>
        <v>0</v>
      </c>
    </row>
    <row r="797" spans="1:18">
      <c r="A797" s="6"/>
      <c r="B797" t="str">
        <f t="shared" si="61"/>
        <v/>
      </c>
      <c r="C797" t="str">
        <f t="shared" si="62"/>
        <v/>
      </c>
      <c r="E797" t="str">
        <f>IFERROR(VLOOKUP(D797,Cadastro!$B$4:$H$100,2,FALSE),"")</f>
        <v/>
      </c>
      <c r="F797" t="str">
        <f>IFERROR(VLOOKUP(D797,Cadastro!$B$4:$H$100,3,FALSE),"")</f>
        <v/>
      </c>
      <c r="J797" s="7"/>
      <c r="K797" s="7"/>
      <c r="L797" s="7"/>
      <c r="M797" s="7"/>
      <c r="N797" s="7"/>
      <c r="O797" s="7"/>
      <c r="P797" s="8">
        <f t="shared" si="63"/>
        <v>0</v>
      </c>
      <c r="Q797" s="8">
        <f t="shared" si="64"/>
        <v>0</v>
      </c>
      <c r="R797" s="8">
        <f t="shared" si="65"/>
        <v>0</v>
      </c>
    </row>
    <row r="798" spans="1:18">
      <c r="A798" s="6"/>
      <c r="B798" t="str">
        <f t="shared" si="61"/>
        <v/>
      </c>
      <c r="C798" t="str">
        <f t="shared" si="62"/>
        <v/>
      </c>
      <c r="E798" t="str">
        <f>IFERROR(VLOOKUP(D798,Cadastro!$B$4:$H$100,2,FALSE),"")</f>
        <v/>
      </c>
      <c r="F798" t="str">
        <f>IFERROR(VLOOKUP(D798,Cadastro!$B$4:$H$100,3,FALSE),"")</f>
        <v/>
      </c>
      <c r="J798" s="7"/>
      <c r="K798" s="7"/>
      <c r="L798" s="7"/>
      <c r="M798" s="7"/>
      <c r="N798" s="7"/>
      <c r="O798" s="7"/>
      <c r="P798" s="8">
        <f t="shared" si="63"/>
        <v>0</v>
      </c>
      <c r="Q798" s="8">
        <f t="shared" si="64"/>
        <v>0</v>
      </c>
      <c r="R798" s="8">
        <f t="shared" si="65"/>
        <v>0</v>
      </c>
    </row>
    <row r="799" spans="1:18">
      <c r="A799" s="6"/>
      <c r="B799" t="str">
        <f t="shared" si="61"/>
        <v/>
      </c>
      <c r="C799" t="str">
        <f t="shared" si="62"/>
        <v/>
      </c>
      <c r="E799" t="str">
        <f>IFERROR(VLOOKUP(D799,Cadastro!$B$4:$H$100,2,FALSE),"")</f>
        <v/>
      </c>
      <c r="F799" t="str">
        <f>IFERROR(VLOOKUP(D799,Cadastro!$B$4:$H$100,3,FALSE),"")</f>
        <v/>
      </c>
      <c r="J799" s="7"/>
      <c r="K799" s="7"/>
      <c r="L799" s="7"/>
      <c r="M799" s="7"/>
      <c r="N799" s="7"/>
      <c r="O799" s="7"/>
      <c r="P799" s="8">
        <f t="shared" si="63"/>
        <v>0</v>
      </c>
      <c r="Q799" s="8">
        <f t="shared" si="64"/>
        <v>0</v>
      </c>
      <c r="R799" s="8">
        <f t="shared" si="65"/>
        <v>0</v>
      </c>
    </row>
    <row r="800" spans="1:18">
      <c r="A800" s="6"/>
      <c r="B800" t="str">
        <f t="shared" si="61"/>
        <v/>
      </c>
      <c r="C800" t="str">
        <f t="shared" si="62"/>
        <v/>
      </c>
      <c r="E800" t="str">
        <f>IFERROR(VLOOKUP(D800,Cadastro!$B$4:$H$100,2,FALSE),"")</f>
        <v/>
      </c>
      <c r="F800" t="str">
        <f>IFERROR(VLOOKUP(D800,Cadastro!$B$4:$H$100,3,FALSE),"")</f>
        <v/>
      </c>
      <c r="J800" s="7"/>
      <c r="K800" s="7"/>
      <c r="L800" s="7"/>
      <c r="M800" s="7"/>
      <c r="N800" s="7"/>
      <c r="O800" s="7"/>
      <c r="P800" s="8">
        <f t="shared" si="63"/>
        <v>0</v>
      </c>
      <c r="Q800" s="8">
        <f t="shared" si="64"/>
        <v>0</v>
      </c>
      <c r="R800" s="8">
        <f t="shared" si="65"/>
        <v>0</v>
      </c>
    </row>
    <row r="801" spans="1:18">
      <c r="A801" s="6"/>
      <c r="B801" t="str">
        <f t="shared" si="61"/>
        <v/>
      </c>
      <c r="C801" t="str">
        <f t="shared" si="62"/>
        <v/>
      </c>
      <c r="E801" t="str">
        <f>IFERROR(VLOOKUP(D801,Cadastro!$B$4:$H$100,2,FALSE),"")</f>
        <v/>
      </c>
      <c r="F801" t="str">
        <f>IFERROR(VLOOKUP(D801,Cadastro!$B$4:$H$100,3,FALSE),"")</f>
        <v/>
      </c>
      <c r="J801" s="7"/>
      <c r="K801" s="7"/>
      <c r="L801" s="7"/>
      <c r="M801" s="7"/>
      <c r="N801" s="7"/>
      <c r="O801" s="7"/>
      <c r="P801" s="8">
        <f t="shared" si="63"/>
        <v>0</v>
      </c>
      <c r="Q801" s="8">
        <f t="shared" si="64"/>
        <v>0</v>
      </c>
      <c r="R801" s="8">
        <f t="shared" si="65"/>
        <v>0</v>
      </c>
    </row>
    <row r="802" spans="1:18">
      <c r="A802" s="6"/>
      <c r="B802" t="str">
        <f t="shared" si="61"/>
        <v/>
      </c>
      <c r="C802" t="str">
        <f t="shared" si="62"/>
        <v/>
      </c>
      <c r="E802" t="str">
        <f>IFERROR(VLOOKUP(D802,Cadastro!$B$4:$H$100,2,FALSE),"")</f>
        <v/>
      </c>
      <c r="F802" t="str">
        <f>IFERROR(VLOOKUP(D802,Cadastro!$B$4:$H$100,3,FALSE),"")</f>
        <v/>
      </c>
      <c r="J802" s="7"/>
      <c r="K802" s="7"/>
      <c r="L802" s="7"/>
      <c r="M802" s="7"/>
      <c r="N802" s="7"/>
      <c r="O802" s="7"/>
      <c r="P802" s="8">
        <f t="shared" si="63"/>
        <v>0</v>
      </c>
      <c r="Q802" s="8">
        <f t="shared" si="64"/>
        <v>0</v>
      </c>
      <c r="R802" s="8">
        <f t="shared" si="65"/>
        <v>0</v>
      </c>
    </row>
    <row r="803" spans="1:18">
      <c r="A803" s="6"/>
      <c r="B803" t="str">
        <f t="shared" si="61"/>
        <v/>
      </c>
      <c r="C803" t="str">
        <f t="shared" si="62"/>
        <v/>
      </c>
      <c r="E803" t="str">
        <f>IFERROR(VLOOKUP(D803,Cadastro!$B$4:$H$100,2,FALSE),"")</f>
        <v/>
      </c>
      <c r="F803" t="str">
        <f>IFERROR(VLOOKUP(D803,Cadastro!$B$4:$H$100,3,FALSE),"")</f>
        <v/>
      </c>
      <c r="J803" s="7"/>
      <c r="K803" s="7"/>
      <c r="L803" s="7"/>
      <c r="M803" s="7"/>
      <c r="N803" s="7"/>
      <c r="O803" s="7"/>
      <c r="P803" s="8">
        <f t="shared" si="63"/>
        <v>0</v>
      </c>
      <c r="Q803" s="8">
        <f t="shared" si="64"/>
        <v>0</v>
      </c>
      <c r="R803" s="8">
        <f t="shared" si="65"/>
        <v>0</v>
      </c>
    </row>
    <row r="804" spans="1:18">
      <c r="A804" s="6"/>
      <c r="B804" t="str">
        <f t="shared" si="61"/>
        <v/>
      </c>
      <c r="C804" t="str">
        <f t="shared" si="62"/>
        <v/>
      </c>
      <c r="E804" t="str">
        <f>IFERROR(VLOOKUP(D804,Cadastro!$B$4:$H$100,2,FALSE),"")</f>
        <v/>
      </c>
      <c r="F804" t="str">
        <f>IFERROR(VLOOKUP(D804,Cadastro!$B$4:$H$100,3,FALSE),"")</f>
        <v/>
      </c>
      <c r="J804" s="7"/>
      <c r="K804" s="7"/>
      <c r="L804" s="7"/>
      <c r="M804" s="7"/>
      <c r="N804" s="7"/>
      <c r="O804" s="7"/>
      <c r="P804" s="8">
        <f t="shared" si="63"/>
        <v>0</v>
      </c>
      <c r="Q804" s="8">
        <f t="shared" si="64"/>
        <v>0</v>
      </c>
      <c r="R804" s="8">
        <f t="shared" si="65"/>
        <v>0</v>
      </c>
    </row>
    <row r="805" spans="1:18">
      <c r="A805" s="6"/>
      <c r="B805" t="str">
        <f t="shared" si="61"/>
        <v/>
      </c>
      <c r="C805" t="str">
        <f t="shared" si="62"/>
        <v/>
      </c>
      <c r="E805" t="str">
        <f>IFERROR(VLOOKUP(D805,Cadastro!$B$4:$H$100,2,FALSE),"")</f>
        <v/>
      </c>
      <c r="F805" t="str">
        <f>IFERROR(VLOOKUP(D805,Cadastro!$B$4:$H$100,3,FALSE),"")</f>
        <v/>
      </c>
      <c r="J805" s="7"/>
      <c r="K805" s="7"/>
      <c r="L805" s="7"/>
      <c r="M805" s="7"/>
      <c r="N805" s="7"/>
      <c r="O805" s="7"/>
      <c r="P805" s="8">
        <f t="shared" si="63"/>
        <v>0</v>
      </c>
      <c r="Q805" s="8">
        <f t="shared" si="64"/>
        <v>0</v>
      </c>
      <c r="R805" s="8">
        <f t="shared" si="65"/>
        <v>0</v>
      </c>
    </row>
    <row r="806" spans="1:18">
      <c r="A806" s="6"/>
      <c r="B806" t="str">
        <f t="shared" si="61"/>
        <v/>
      </c>
      <c r="C806" t="str">
        <f t="shared" si="62"/>
        <v/>
      </c>
      <c r="E806" t="str">
        <f>IFERROR(VLOOKUP(D806,Cadastro!$B$4:$H$100,2,FALSE),"")</f>
        <v/>
      </c>
      <c r="F806" t="str">
        <f>IFERROR(VLOOKUP(D806,Cadastro!$B$4:$H$100,3,FALSE),"")</f>
        <v/>
      </c>
      <c r="J806" s="7"/>
      <c r="K806" s="7"/>
      <c r="L806" s="7"/>
      <c r="M806" s="7"/>
      <c r="N806" s="7"/>
      <c r="O806" s="7"/>
      <c r="P806" s="8">
        <f t="shared" si="63"/>
        <v>0</v>
      </c>
      <c r="Q806" s="8">
        <f t="shared" si="64"/>
        <v>0</v>
      </c>
      <c r="R806" s="8">
        <f t="shared" si="65"/>
        <v>0</v>
      </c>
    </row>
    <row r="807" spans="1:18">
      <c r="A807" s="6"/>
      <c r="B807" t="str">
        <f t="shared" si="61"/>
        <v/>
      </c>
      <c r="C807" t="str">
        <f t="shared" si="62"/>
        <v/>
      </c>
      <c r="E807" t="str">
        <f>IFERROR(VLOOKUP(D807,Cadastro!$B$4:$H$100,2,FALSE),"")</f>
        <v/>
      </c>
      <c r="F807" t="str">
        <f>IFERROR(VLOOKUP(D807,Cadastro!$B$4:$H$100,3,FALSE),"")</f>
        <v/>
      </c>
      <c r="J807" s="7"/>
      <c r="K807" s="7"/>
      <c r="L807" s="7"/>
      <c r="M807" s="7"/>
      <c r="N807" s="7"/>
      <c r="O807" s="7"/>
      <c r="P807" s="8">
        <f t="shared" si="63"/>
        <v>0</v>
      </c>
      <c r="Q807" s="8">
        <f t="shared" si="64"/>
        <v>0</v>
      </c>
      <c r="R807" s="8">
        <f t="shared" si="65"/>
        <v>0</v>
      </c>
    </row>
    <row r="808" spans="1:18">
      <c r="A808" s="6"/>
      <c r="B808" t="str">
        <f t="shared" si="61"/>
        <v/>
      </c>
      <c r="C808" t="str">
        <f t="shared" si="62"/>
        <v/>
      </c>
      <c r="E808" t="str">
        <f>IFERROR(VLOOKUP(D808,Cadastro!$B$4:$H$100,2,FALSE),"")</f>
        <v/>
      </c>
      <c r="F808" t="str">
        <f>IFERROR(VLOOKUP(D808,Cadastro!$B$4:$H$100,3,FALSE),"")</f>
        <v/>
      </c>
      <c r="J808" s="7"/>
      <c r="K808" s="7"/>
      <c r="L808" s="7"/>
      <c r="M808" s="7"/>
      <c r="N808" s="7"/>
      <c r="O808" s="7"/>
      <c r="P808" s="8">
        <f t="shared" si="63"/>
        <v>0</v>
      </c>
      <c r="Q808" s="8">
        <f t="shared" si="64"/>
        <v>0</v>
      </c>
      <c r="R808" s="8">
        <f t="shared" si="65"/>
        <v>0</v>
      </c>
    </row>
    <row r="809" spans="1:18">
      <c r="A809" s="6"/>
      <c r="B809" t="str">
        <f t="shared" si="61"/>
        <v/>
      </c>
      <c r="C809" t="str">
        <f t="shared" si="62"/>
        <v/>
      </c>
      <c r="E809" t="str">
        <f>IFERROR(VLOOKUP(D809,Cadastro!$B$4:$H$100,2,FALSE),"")</f>
        <v/>
      </c>
      <c r="F809" t="str">
        <f>IFERROR(VLOOKUP(D809,Cadastro!$B$4:$H$100,3,FALSE),"")</f>
        <v/>
      </c>
      <c r="J809" s="7"/>
      <c r="K809" s="7"/>
      <c r="L809" s="7"/>
      <c r="M809" s="7"/>
      <c r="N809" s="7"/>
      <c r="O809" s="7"/>
      <c r="P809" s="8">
        <f t="shared" si="63"/>
        <v>0</v>
      </c>
      <c r="Q809" s="8">
        <f t="shared" si="64"/>
        <v>0</v>
      </c>
      <c r="R809" s="8">
        <f t="shared" si="65"/>
        <v>0</v>
      </c>
    </row>
    <row r="810" spans="1:18">
      <c r="A810" s="6"/>
      <c r="B810" t="str">
        <f t="shared" si="61"/>
        <v/>
      </c>
      <c r="C810" t="str">
        <f t="shared" si="62"/>
        <v/>
      </c>
      <c r="E810" t="str">
        <f>IFERROR(VLOOKUP(D810,Cadastro!$B$4:$H$100,2,FALSE),"")</f>
        <v/>
      </c>
      <c r="F810" t="str">
        <f>IFERROR(VLOOKUP(D810,Cadastro!$B$4:$H$100,3,FALSE),"")</f>
        <v/>
      </c>
      <c r="J810" s="7"/>
      <c r="K810" s="7"/>
      <c r="L810" s="7"/>
      <c r="M810" s="7"/>
      <c r="N810" s="7"/>
      <c r="O810" s="7"/>
      <c r="P810" s="8">
        <f t="shared" si="63"/>
        <v>0</v>
      </c>
      <c r="Q810" s="8">
        <f t="shared" si="64"/>
        <v>0</v>
      </c>
      <c r="R810" s="8">
        <f t="shared" si="65"/>
        <v>0</v>
      </c>
    </row>
    <row r="811" spans="1:18">
      <c r="A811" s="6"/>
      <c r="B811" t="str">
        <f t="shared" si="61"/>
        <v/>
      </c>
      <c r="C811" t="str">
        <f t="shared" si="62"/>
        <v/>
      </c>
      <c r="E811" t="str">
        <f>IFERROR(VLOOKUP(D811,Cadastro!$B$4:$H$100,2,FALSE),"")</f>
        <v/>
      </c>
      <c r="F811" t="str">
        <f>IFERROR(VLOOKUP(D811,Cadastro!$B$4:$H$100,3,FALSE),"")</f>
        <v/>
      </c>
      <c r="J811" s="7"/>
      <c r="K811" s="7"/>
      <c r="L811" s="7"/>
      <c r="M811" s="7"/>
      <c r="N811" s="7"/>
      <c r="O811" s="7"/>
      <c r="P811" s="8">
        <f t="shared" si="63"/>
        <v>0</v>
      </c>
      <c r="Q811" s="8">
        <f t="shared" si="64"/>
        <v>0</v>
      </c>
      <c r="R811" s="8">
        <f t="shared" si="65"/>
        <v>0</v>
      </c>
    </row>
    <row r="812" spans="1:18">
      <c r="A812" s="6"/>
      <c r="B812" t="str">
        <f t="shared" si="61"/>
        <v/>
      </c>
      <c r="C812" t="str">
        <f t="shared" si="62"/>
        <v/>
      </c>
      <c r="E812" t="str">
        <f>IFERROR(VLOOKUP(D812,Cadastro!$B$4:$H$100,2,FALSE),"")</f>
        <v/>
      </c>
      <c r="F812" t="str">
        <f>IFERROR(VLOOKUP(D812,Cadastro!$B$4:$H$100,3,FALSE),"")</f>
        <v/>
      </c>
      <c r="J812" s="7"/>
      <c r="K812" s="7"/>
      <c r="L812" s="7"/>
      <c r="M812" s="7"/>
      <c r="N812" s="7"/>
      <c r="O812" s="7"/>
      <c r="P812" s="8">
        <f t="shared" si="63"/>
        <v>0</v>
      </c>
      <c r="Q812" s="8">
        <f t="shared" si="64"/>
        <v>0</v>
      </c>
      <c r="R812" s="8">
        <f t="shared" si="65"/>
        <v>0</v>
      </c>
    </row>
    <row r="813" spans="1:18">
      <c r="A813" s="6"/>
      <c r="B813" t="str">
        <f t="shared" si="61"/>
        <v/>
      </c>
      <c r="C813" t="str">
        <f t="shared" si="62"/>
        <v/>
      </c>
      <c r="E813" t="str">
        <f>IFERROR(VLOOKUP(D813,Cadastro!$B$4:$H$100,2,FALSE),"")</f>
        <v/>
      </c>
      <c r="F813" t="str">
        <f>IFERROR(VLOOKUP(D813,Cadastro!$B$4:$H$100,3,FALSE),"")</f>
        <v/>
      </c>
      <c r="J813" s="7"/>
      <c r="K813" s="7"/>
      <c r="L813" s="7"/>
      <c r="M813" s="7"/>
      <c r="N813" s="7"/>
      <c r="O813" s="7"/>
      <c r="P813" s="8">
        <f t="shared" si="63"/>
        <v>0</v>
      </c>
      <c r="Q813" s="8">
        <f t="shared" si="64"/>
        <v>0</v>
      </c>
      <c r="R813" s="8">
        <f t="shared" si="65"/>
        <v>0</v>
      </c>
    </row>
    <row r="814" spans="1:18">
      <c r="A814" s="6"/>
      <c r="B814" t="str">
        <f t="shared" si="61"/>
        <v/>
      </c>
      <c r="C814" t="str">
        <f t="shared" si="62"/>
        <v/>
      </c>
      <c r="E814" t="str">
        <f>IFERROR(VLOOKUP(D814,Cadastro!$B$4:$H$100,2,FALSE),"")</f>
        <v/>
      </c>
      <c r="F814" t="str">
        <f>IFERROR(VLOOKUP(D814,Cadastro!$B$4:$H$100,3,FALSE),"")</f>
        <v/>
      </c>
      <c r="J814" s="7"/>
      <c r="K814" s="7"/>
      <c r="L814" s="7"/>
      <c r="M814" s="7"/>
      <c r="N814" s="7"/>
      <c r="O814" s="7"/>
      <c r="P814" s="8">
        <f t="shared" si="63"/>
        <v>0</v>
      </c>
      <c r="Q814" s="8">
        <f t="shared" si="64"/>
        <v>0</v>
      </c>
      <c r="R814" s="8">
        <f t="shared" si="65"/>
        <v>0</v>
      </c>
    </row>
    <row r="815" spans="1:18">
      <c r="A815" s="6"/>
      <c r="B815" t="str">
        <f t="shared" si="61"/>
        <v/>
      </c>
      <c r="C815" t="str">
        <f t="shared" si="62"/>
        <v/>
      </c>
      <c r="E815" t="str">
        <f>IFERROR(VLOOKUP(D815,Cadastro!$B$4:$H$100,2,FALSE),"")</f>
        <v/>
      </c>
      <c r="F815" t="str">
        <f>IFERROR(VLOOKUP(D815,Cadastro!$B$4:$H$100,3,FALSE),"")</f>
        <v/>
      </c>
      <c r="J815" s="7"/>
      <c r="K815" s="7"/>
      <c r="L815" s="7"/>
      <c r="M815" s="7"/>
      <c r="N815" s="7"/>
      <c r="O815" s="7"/>
      <c r="P815" s="8">
        <f t="shared" si="63"/>
        <v>0</v>
      </c>
      <c r="Q815" s="8">
        <f t="shared" si="64"/>
        <v>0</v>
      </c>
      <c r="R815" s="8">
        <f t="shared" si="65"/>
        <v>0</v>
      </c>
    </row>
    <row r="816" spans="1:18">
      <c r="A816" s="6"/>
      <c r="B816" t="str">
        <f t="shared" si="61"/>
        <v/>
      </c>
      <c r="C816" t="str">
        <f t="shared" si="62"/>
        <v/>
      </c>
      <c r="E816" t="str">
        <f>IFERROR(VLOOKUP(D816,Cadastro!$B$4:$H$100,2,FALSE),"")</f>
        <v/>
      </c>
      <c r="F816" t="str">
        <f>IFERROR(VLOOKUP(D816,Cadastro!$B$4:$H$100,3,FALSE),"")</f>
        <v/>
      </c>
      <c r="J816" s="7"/>
      <c r="K816" s="7"/>
      <c r="L816" s="7"/>
      <c r="M816" s="7"/>
      <c r="N816" s="7"/>
      <c r="O816" s="7"/>
      <c r="P816" s="8">
        <f t="shared" si="63"/>
        <v>0</v>
      </c>
      <c r="Q816" s="8">
        <f t="shared" si="64"/>
        <v>0</v>
      </c>
      <c r="R816" s="8">
        <f t="shared" si="65"/>
        <v>0</v>
      </c>
    </row>
    <row r="817" spans="1:18">
      <c r="A817" s="6"/>
      <c r="B817" t="str">
        <f t="shared" si="61"/>
        <v/>
      </c>
      <c r="C817" t="str">
        <f t="shared" si="62"/>
        <v/>
      </c>
      <c r="E817" t="str">
        <f>IFERROR(VLOOKUP(D817,Cadastro!$B$4:$H$100,2,FALSE),"")</f>
        <v/>
      </c>
      <c r="F817" t="str">
        <f>IFERROR(VLOOKUP(D817,Cadastro!$B$4:$H$100,3,FALSE),"")</f>
        <v/>
      </c>
      <c r="J817" s="7"/>
      <c r="K817" s="7"/>
      <c r="L817" s="7"/>
      <c r="M817" s="7"/>
      <c r="N817" s="7"/>
      <c r="O817" s="7"/>
      <c r="P817" s="8">
        <f t="shared" si="63"/>
        <v>0</v>
      </c>
      <c r="Q817" s="8">
        <f t="shared" si="64"/>
        <v>0</v>
      </c>
      <c r="R817" s="8">
        <f t="shared" si="65"/>
        <v>0</v>
      </c>
    </row>
    <row r="818" spans="1:18">
      <c r="A818" s="6"/>
      <c r="B818" t="str">
        <f t="shared" si="61"/>
        <v/>
      </c>
      <c r="C818" t="str">
        <f t="shared" si="62"/>
        <v/>
      </c>
      <c r="E818" t="str">
        <f>IFERROR(VLOOKUP(D818,Cadastro!$B$4:$H$100,2,FALSE),"")</f>
        <v/>
      </c>
      <c r="F818" t="str">
        <f>IFERROR(VLOOKUP(D818,Cadastro!$B$4:$H$100,3,FALSE),"")</f>
        <v/>
      </c>
      <c r="J818" s="7"/>
      <c r="K818" s="7"/>
      <c r="L818" s="7"/>
      <c r="M818" s="7"/>
      <c r="N818" s="7"/>
      <c r="O818" s="7"/>
      <c r="P818" s="8">
        <f t="shared" si="63"/>
        <v>0</v>
      </c>
      <c r="Q818" s="8">
        <f t="shared" si="64"/>
        <v>0</v>
      </c>
      <c r="R818" s="8">
        <f t="shared" si="65"/>
        <v>0</v>
      </c>
    </row>
    <row r="819" spans="1:18">
      <c r="A819" s="6"/>
      <c r="B819" t="str">
        <f t="shared" si="61"/>
        <v/>
      </c>
      <c r="C819" t="str">
        <f t="shared" si="62"/>
        <v/>
      </c>
      <c r="E819" t="str">
        <f>IFERROR(VLOOKUP(D819,Cadastro!$B$4:$H$100,2,FALSE),"")</f>
        <v/>
      </c>
      <c r="F819" t="str">
        <f>IFERROR(VLOOKUP(D819,Cadastro!$B$4:$H$100,3,FALSE),"")</f>
        <v/>
      </c>
      <c r="J819" s="7"/>
      <c r="K819" s="7"/>
      <c r="L819" s="7"/>
      <c r="M819" s="7"/>
      <c r="N819" s="7"/>
      <c r="O819" s="7"/>
      <c r="P819" s="8">
        <f t="shared" si="63"/>
        <v>0</v>
      </c>
      <c r="Q819" s="8">
        <f t="shared" si="64"/>
        <v>0</v>
      </c>
      <c r="R819" s="8">
        <f t="shared" si="65"/>
        <v>0</v>
      </c>
    </row>
    <row r="820" spans="1:18">
      <c r="A820" s="6"/>
      <c r="B820" t="str">
        <f t="shared" si="61"/>
        <v/>
      </c>
      <c r="C820" t="str">
        <f t="shared" si="62"/>
        <v/>
      </c>
      <c r="E820" t="str">
        <f>IFERROR(VLOOKUP(D820,Cadastro!$B$4:$H$100,2,FALSE),"")</f>
        <v/>
      </c>
      <c r="F820" t="str">
        <f>IFERROR(VLOOKUP(D820,Cadastro!$B$4:$H$100,3,FALSE),"")</f>
        <v/>
      </c>
      <c r="J820" s="7"/>
      <c r="K820" s="7"/>
      <c r="L820" s="7"/>
      <c r="M820" s="7"/>
      <c r="N820" s="7"/>
      <c r="O820" s="7"/>
      <c r="P820" s="8">
        <f t="shared" si="63"/>
        <v>0</v>
      </c>
      <c r="Q820" s="8">
        <f t="shared" si="64"/>
        <v>0</v>
      </c>
      <c r="R820" s="8">
        <f t="shared" si="65"/>
        <v>0</v>
      </c>
    </row>
    <row r="821" spans="1:18">
      <c r="A821" s="6"/>
      <c r="B821" t="str">
        <f t="shared" si="61"/>
        <v/>
      </c>
      <c r="C821" t="str">
        <f t="shared" si="62"/>
        <v/>
      </c>
      <c r="E821" t="str">
        <f>IFERROR(VLOOKUP(D821,Cadastro!$B$4:$H$100,2,FALSE),"")</f>
        <v/>
      </c>
      <c r="F821" t="str">
        <f>IFERROR(VLOOKUP(D821,Cadastro!$B$4:$H$100,3,FALSE),"")</f>
        <v/>
      </c>
      <c r="J821" s="7"/>
      <c r="K821" s="7"/>
      <c r="L821" s="7"/>
      <c r="M821" s="7"/>
      <c r="N821" s="7"/>
      <c r="O821" s="7"/>
      <c r="P821" s="8">
        <f t="shared" si="63"/>
        <v>0</v>
      </c>
      <c r="Q821" s="8">
        <f t="shared" si="64"/>
        <v>0</v>
      </c>
      <c r="R821" s="8">
        <f t="shared" si="65"/>
        <v>0</v>
      </c>
    </row>
    <row r="822" spans="1:18">
      <c r="A822" s="6"/>
      <c r="B822" t="str">
        <f t="shared" si="61"/>
        <v/>
      </c>
      <c r="C822" t="str">
        <f t="shared" si="62"/>
        <v/>
      </c>
      <c r="E822" t="str">
        <f>IFERROR(VLOOKUP(D822,Cadastro!$B$4:$H$100,2,FALSE),"")</f>
        <v/>
      </c>
      <c r="F822" t="str">
        <f>IFERROR(VLOOKUP(D822,Cadastro!$B$4:$H$100,3,FALSE),"")</f>
        <v/>
      </c>
      <c r="J822" s="7"/>
      <c r="K822" s="7"/>
      <c r="L822" s="7"/>
      <c r="M822" s="7"/>
      <c r="N822" s="7"/>
      <c r="O822" s="7"/>
      <c r="P822" s="8">
        <f t="shared" si="63"/>
        <v>0</v>
      </c>
      <c r="Q822" s="8">
        <f t="shared" si="64"/>
        <v>0</v>
      </c>
      <c r="R822" s="8">
        <f t="shared" si="65"/>
        <v>0</v>
      </c>
    </row>
    <row r="823" spans="1:18">
      <c r="A823" s="6"/>
      <c r="B823" t="str">
        <f t="shared" si="61"/>
        <v/>
      </c>
      <c r="C823" t="str">
        <f t="shared" si="62"/>
        <v/>
      </c>
      <c r="E823" t="str">
        <f>IFERROR(VLOOKUP(D823,Cadastro!$B$4:$H$100,2,FALSE),"")</f>
        <v/>
      </c>
      <c r="F823" t="str">
        <f>IFERROR(VLOOKUP(D823,Cadastro!$B$4:$H$100,3,FALSE),"")</f>
        <v/>
      </c>
      <c r="J823" s="7"/>
      <c r="K823" s="7"/>
      <c r="L823" s="7"/>
      <c r="M823" s="7"/>
      <c r="N823" s="7"/>
      <c r="O823" s="7"/>
      <c r="P823" s="8">
        <f t="shared" si="63"/>
        <v>0</v>
      </c>
      <c r="Q823" s="8">
        <f t="shared" si="64"/>
        <v>0</v>
      </c>
      <c r="R823" s="8">
        <f t="shared" si="65"/>
        <v>0</v>
      </c>
    </row>
    <row r="824" spans="1:18">
      <c r="A824" s="6"/>
      <c r="B824" t="str">
        <f t="shared" si="61"/>
        <v/>
      </c>
      <c r="C824" t="str">
        <f t="shared" si="62"/>
        <v/>
      </c>
      <c r="E824" t="str">
        <f>IFERROR(VLOOKUP(D824,Cadastro!$B$4:$H$100,2,FALSE),"")</f>
        <v/>
      </c>
      <c r="F824" t="str">
        <f>IFERROR(VLOOKUP(D824,Cadastro!$B$4:$H$100,3,FALSE),"")</f>
        <v/>
      </c>
      <c r="J824" s="7"/>
      <c r="K824" s="7"/>
      <c r="L824" s="7"/>
      <c r="M824" s="7"/>
      <c r="N824" s="7"/>
      <c r="O824" s="7"/>
      <c r="P824" s="8">
        <f t="shared" si="63"/>
        <v>0</v>
      </c>
      <c r="Q824" s="8">
        <f t="shared" si="64"/>
        <v>0</v>
      </c>
      <c r="R824" s="8">
        <f t="shared" si="65"/>
        <v>0</v>
      </c>
    </row>
    <row r="825" spans="1:18">
      <c r="A825" s="6"/>
      <c r="B825" t="str">
        <f t="shared" si="61"/>
        <v/>
      </c>
      <c r="C825" t="str">
        <f t="shared" si="62"/>
        <v/>
      </c>
      <c r="E825" t="str">
        <f>IFERROR(VLOOKUP(D825,Cadastro!$B$4:$H$100,2,FALSE),"")</f>
        <v/>
      </c>
      <c r="F825" t="str">
        <f>IFERROR(VLOOKUP(D825,Cadastro!$B$4:$H$100,3,FALSE),"")</f>
        <v/>
      </c>
      <c r="J825" s="7"/>
      <c r="K825" s="7"/>
      <c r="L825" s="7"/>
      <c r="M825" s="7"/>
      <c r="N825" s="7"/>
      <c r="O825" s="7"/>
      <c r="P825" s="8">
        <f t="shared" si="63"/>
        <v>0</v>
      </c>
      <c r="Q825" s="8">
        <f t="shared" si="64"/>
        <v>0</v>
      </c>
      <c r="R825" s="8">
        <f t="shared" si="65"/>
        <v>0</v>
      </c>
    </row>
    <row r="826" spans="1:18">
      <c r="A826" s="6"/>
      <c r="B826" t="str">
        <f t="shared" si="61"/>
        <v/>
      </c>
      <c r="C826" t="str">
        <f t="shared" si="62"/>
        <v/>
      </c>
      <c r="E826" t="str">
        <f>IFERROR(VLOOKUP(D826,Cadastro!$B$4:$H$100,2,FALSE),"")</f>
        <v/>
      </c>
      <c r="F826" t="str">
        <f>IFERROR(VLOOKUP(D826,Cadastro!$B$4:$H$100,3,FALSE),"")</f>
        <v/>
      </c>
      <c r="J826" s="7"/>
      <c r="K826" s="7"/>
      <c r="L826" s="7"/>
      <c r="M826" s="7"/>
      <c r="N826" s="7"/>
      <c r="O826" s="7"/>
      <c r="P826" s="8">
        <f t="shared" si="63"/>
        <v>0</v>
      </c>
      <c r="Q826" s="8">
        <f t="shared" si="64"/>
        <v>0</v>
      </c>
      <c r="R826" s="8">
        <f t="shared" si="65"/>
        <v>0</v>
      </c>
    </row>
    <row r="827" spans="1:18">
      <c r="A827" s="6"/>
      <c r="B827" t="str">
        <f t="shared" si="61"/>
        <v/>
      </c>
      <c r="C827" t="str">
        <f t="shared" si="62"/>
        <v/>
      </c>
      <c r="E827" t="str">
        <f>IFERROR(VLOOKUP(D827,Cadastro!$B$4:$H$100,2,FALSE),"")</f>
        <v/>
      </c>
      <c r="F827" t="str">
        <f>IFERROR(VLOOKUP(D827,Cadastro!$B$4:$H$100,3,FALSE),"")</f>
        <v/>
      </c>
      <c r="J827" s="7"/>
      <c r="K827" s="7"/>
      <c r="L827" s="7"/>
      <c r="M827" s="7"/>
      <c r="N827" s="7"/>
      <c r="O827" s="7"/>
      <c r="P827" s="8">
        <f t="shared" si="63"/>
        <v>0</v>
      </c>
      <c r="Q827" s="8">
        <f t="shared" si="64"/>
        <v>0</v>
      </c>
      <c r="R827" s="8">
        <f t="shared" si="65"/>
        <v>0</v>
      </c>
    </row>
    <row r="828" spans="1:18">
      <c r="A828" s="6"/>
      <c r="B828" t="str">
        <f t="shared" si="61"/>
        <v/>
      </c>
      <c r="C828" t="str">
        <f t="shared" si="62"/>
        <v/>
      </c>
      <c r="E828" t="str">
        <f>IFERROR(VLOOKUP(D828,Cadastro!$B$4:$H$100,2,FALSE),"")</f>
        <v/>
      </c>
      <c r="F828" t="str">
        <f>IFERROR(VLOOKUP(D828,Cadastro!$B$4:$H$100,3,FALSE),"")</f>
        <v/>
      </c>
      <c r="J828" s="7"/>
      <c r="K828" s="7"/>
      <c r="L828" s="7"/>
      <c r="M828" s="7"/>
      <c r="N828" s="7"/>
      <c r="O828" s="7"/>
      <c r="P828" s="8">
        <f t="shared" si="63"/>
        <v>0</v>
      </c>
      <c r="Q828" s="8">
        <f t="shared" si="64"/>
        <v>0</v>
      </c>
      <c r="R828" s="8">
        <f t="shared" si="65"/>
        <v>0</v>
      </c>
    </row>
    <row r="829" spans="1:18">
      <c r="A829" s="6"/>
      <c r="B829" t="str">
        <f t="shared" si="61"/>
        <v/>
      </c>
      <c r="C829" t="str">
        <f t="shared" si="62"/>
        <v/>
      </c>
      <c r="E829" t="str">
        <f>IFERROR(VLOOKUP(D829,Cadastro!$B$4:$H$100,2,FALSE),"")</f>
        <v/>
      </c>
      <c r="F829" t="str">
        <f>IFERROR(VLOOKUP(D829,Cadastro!$B$4:$H$100,3,FALSE),"")</f>
        <v/>
      </c>
      <c r="J829" s="7"/>
      <c r="K829" s="7"/>
      <c r="L829" s="7"/>
      <c r="M829" s="7"/>
      <c r="N829" s="7"/>
      <c r="O829" s="7"/>
      <c r="P829" s="8">
        <f t="shared" si="63"/>
        <v>0</v>
      </c>
      <c r="Q829" s="8">
        <f t="shared" si="64"/>
        <v>0</v>
      </c>
      <c r="R829" s="8">
        <f t="shared" si="65"/>
        <v>0</v>
      </c>
    </row>
    <row r="830" spans="1:18">
      <c r="A830" s="6"/>
      <c r="B830" t="str">
        <f t="shared" si="61"/>
        <v/>
      </c>
      <c r="C830" t="str">
        <f t="shared" si="62"/>
        <v/>
      </c>
      <c r="E830" t="str">
        <f>IFERROR(VLOOKUP(D830,Cadastro!$B$4:$H$100,2,FALSE),"")</f>
        <v/>
      </c>
      <c r="F830" t="str">
        <f>IFERROR(VLOOKUP(D830,Cadastro!$B$4:$H$100,3,FALSE),"")</f>
        <v/>
      </c>
      <c r="J830" s="7"/>
      <c r="K830" s="7"/>
      <c r="L830" s="7"/>
      <c r="M830" s="7"/>
      <c r="N830" s="7"/>
      <c r="O830" s="7"/>
      <c r="P830" s="8">
        <f t="shared" si="63"/>
        <v>0</v>
      </c>
      <c r="Q830" s="8">
        <f t="shared" si="64"/>
        <v>0</v>
      </c>
      <c r="R830" s="8">
        <f t="shared" si="65"/>
        <v>0</v>
      </c>
    </row>
    <row r="831" spans="1:18">
      <c r="A831" s="6"/>
      <c r="B831" t="str">
        <f t="shared" si="61"/>
        <v/>
      </c>
      <c r="C831" t="str">
        <f t="shared" si="62"/>
        <v/>
      </c>
      <c r="E831" t="str">
        <f>IFERROR(VLOOKUP(D831,Cadastro!$B$4:$H$100,2,FALSE),"")</f>
        <v/>
      </c>
      <c r="F831" t="str">
        <f>IFERROR(VLOOKUP(D831,Cadastro!$B$4:$H$100,3,FALSE),"")</f>
        <v/>
      </c>
      <c r="J831" s="7"/>
      <c r="K831" s="7"/>
      <c r="L831" s="7"/>
      <c r="M831" s="7"/>
      <c r="N831" s="7"/>
      <c r="O831" s="7"/>
      <c r="P831" s="8">
        <f t="shared" si="63"/>
        <v>0</v>
      </c>
      <c r="Q831" s="8">
        <f t="shared" si="64"/>
        <v>0</v>
      </c>
      <c r="R831" s="8">
        <f t="shared" si="65"/>
        <v>0</v>
      </c>
    </row>
    <row r="832" spans="1:18">
      <c r="A832" s="6"/>
      <c r="B832" t="str">
        <f t="shared" si="61"/>
        <v/>
      </c>
      <c r="C832" t="str">
        <f t="shared" si="62"/>
        <v/>
      </c>
      <c r="E832" t="str">
        <f>IFERROR(VLOOKUP(D832,Cadastro!$B$4:$H$100,2,FALSE),"")</f>
        <v/>
      </c>
      <c r="F832" t="str">
        <f>IFERROR(VLOOKUP(D832,Cadastro!$B$4:$H$100,3,FALSE),"")</f>
        <v/>
      </c>
      <c r="J832" s="7"/>
      <c r="K832" s="7"/>
      <c r="L832" s="7"/>
      <c r="M832" s="7"/>
      <c r="N832" s="7"/>
      <c r="O832" s="7"/>
      <c r="P832" s="8">
        <f t="shared" si="63"/>
        <v>0</v>
      </c>
      <c r="Q832" s="8">
        <f t="shared" si="64"/>
        <v>0</v>
      </c>
      <c r="R832" s="8">
        <f t="shared" si="65"/>
        <v>0</v>
      </c>
    </row>
    <row r="833" spans="1:18">
      <c r="A833" s="6"/>
      <c r="B833" t="str">
        <f t="shared" si="61"/>
        <v/>
      </c>
      <c r="C833" t="str">
        <f t="shared" si="62"/>
        <v/>
      </c>
      <c r="E833" t="str">
        <f>IFERROR(VLOOKUP(D833,Cadastro!$B$4:$H$100,2,FALSE),"")</f>
        <v/>
      </c>
      <c r="F833" t="str">
        <f>IFERROR(VLOOKUP(D833,Cadastro!$B$4:$H$100,3,FALSE),"")</f>
        <v/>
      </c>
      <c r="J833" s="7"/>
      <c r="K833" s="7"/>
      <c r="L833" s="7"/>
      <c r="M833" s="7"/>
      <c r="N833" s="7"/>
      <c r="O833" s="7"/>
      <c r="P833" s="8">
        <f t="shared" si="63"/>
        <v>0</v>
      </c>
      <c r="Q833" s="8">
        <f t="shared" si="64"/>
        <v>0</v>
      </c>
      <c r="R833" s="8">
        <f t="shared" si="65"/>
        <v>0</v>
      </c>
    </row>
    <row r="834" spans="1:18">
      <c r="A834" s="6"/>
      <c r="B834" t="str">
        <f t="shared" si="61"/>
        <v/>
      </c>
      <c r="C834" t="str">
        <f t="shared" si="62"/>
        <v/>
      </c>
      <c r="E834" t="str">
        <f>IFERROR(VLOOKUP(D834,Cadastro!$B$4:$H$100,2,FALSE),"")</f>
        <v/>
      </c>
      <c r="F834" t="str">
        <f>IFERROR(VLOOKUP(D834,Cadastro!$B$4:$H$100,3,FALSE),"")</f>
        <v/>
      </c>
      <c r="J834" s="7"/>
      <c r="K834" s="7"/>
      <c r="L834" s="7"/>
      <c r="M834" s="7"/>
      <c r="N834" s="7"/>
      <c r="O834" s="7"/>
      <c r="P834" s="8">
        <f t="shared" si="63"/>
        <v>0</v>
      </c>
      <c r="Q834" s="8">
        <f t="shared" si="64"/>
        <v>0</v>
      </c>
      <c r="R834" s="8">
        <f t="shared" si="65"/>
        <v>0</v>
      </c>
    </row>
    <row r="835" spans="1:18">
      <c r="A835" s="6"/>
      <c r="B835" t="str">
        <f t="shared" si="61"/>
        <v/>
      </c>
      <c r="C835" t="str">
        <f t="shared" si="62"/>
        <v/>
      </c>
      <c r="E835" t="str">
        <f>IFERROR(VLOOKUP(D835,Cadastro!$B$4:$H$100,2,FALSE),"")</f>
        <v/>
      </c>
      <c r="F835" t="str">
        <f>IFERROR(VLOOKUP(D835,Cadastro!$B$4:$H$100,3,FALSE),"")</f>
        <v/>
      </c>
      <c r="J835" s="7"/>
      <c r="K835" s="7"/>
      <c r="L835" s="7"/>
      <c r="M835" s="7"/>
      <c r="N835" s="7"/>
      <c r="O835" s="7"/>
      <c r="P835" s="8">
        <f t="shared" si="63"/>
        <v>0</v>
      </c>
      <c r="Q835" s="8">
        <f t="shared" si="64"/>
        <v>0</v>
      </c>
      <c r="R835" s="8">
        <f t="shared" si="65"/>
        <v>0</v>
      </c>
    </row>
    <row r="836" spans="1:18">
      <c r="A836" s="6"/>
      <c r="B836" t="str">
        <f t="shared" ref="B836:B899" si="66">IF(A836="","",YEAR(A836))</f>
        <v/>
      </c>
      <c r="C836" t="str">
        <f t="shared" ref="C836:C899" si="67">IF(A836="","",TEXT(A836,"mmmm"))</f>
        <v/>
      </c>
      <c r="E836" t="str">
        <f>IFERROR(VLOOKUP(D836,Cadastro!$B$4:$H$100,2,FALSE),"")</f>
        <v/>
      </c>
      <c r="F836" t="str">
        <f>IFERROR(VLOOKUP(D836,Cadastro!$B$4:$H$100,3,FALSE),"")</f>
        <v/>
      </c>
      <c r="J836" s="7"/>
      <c r="K836" s="7"/>
      <c r="L836" s="7"/>
      <c r="M836" s="7"/>
      <c r="N836" s="7"/>
      <c r="O836" s="7"/>
      <c r="P836" s="8">
        <f t="shared" ref="P836:P899" si="68">IF(OR(J836="",K836=""),0,(K836-J836)*24)+IF(OR(L836="",M836=""),0,(M836-L836)*24)+IF(OR(N836="",O836=""),0,(O836-N836)*24)</f>
        <v>0</v>
      </c>
      <c r="Q836" s="8">
        <f t="shared" ref="Q836:Q899" si="69">IF(OR(I836="Prática",I836="Teórico-prática"),P836,0)</f>
        <v>0</v>
      </c>
      <c r="R836" s="8">
        <f t="shared" ref="R836:R899" si="70">IF(OR(I836="Teórica",I836="Teórico-prática"),P836,0)</f>
        <v>0</v>
      </c>
    </row>
    <row r="837" spans="1:18">
      <c r="A837" s="6"/>
      <c r="B837" t="str">
        <f t="shared" si="66"/>
        <v/>
      </c>
      <c r="C837" t="str">
        <f t="shared" si="67"/>
        <v/>
      </c>
      <c r="E837" t="str">
        <f>IFERROR(VLOOKUP(D837,Cadastro!$B$4:$H$100,2,FALSE),"")</f>
        <v/>
      </c>
      <c r="F837" t="str">
        <f>IFERROR(VLOOKUP(D837,Cadastro!$B$4:$H$100,3,FALSE),"")</f>
        <v/>
      </c>
      <c r="J837" s="7"/>
      <c r="K837" s="7"/>
      <c r="L837" s="7"/>
      <c r="M837" s="7"/>
      <c r="N837" s="7"/>
      <c r="O837" s="7"/>
      <c r="P837" s="8">
        <f t="shared" si="68"/>
        <v>0</v>
      </c>
      <c r="Q837" s="8">
        <f t="shared" si="69"/>
        <v>0</v>
      </c>
      <c r="R837" s="8">
        <f t="shared" si="70"/>
        <v>0</v>
      </c>
    </row>
    <row r="838" spans="1:18">
      <c r="A838" s="6"/>
      <c r="B838" t="str">
        <f t="shared" si="66"/>
        <v/>
      </c>
      <c r="C838" t="str">
        <f t="shared" si="67"/>
        <v/>
      </c>
      <c r="E838" t="str">
        <f>IFERROR(VLOOKUP(D838,Cadastro!$B$4:$H$100,2,FALSE),"")</f>
        <v/>
      </c>
      <c r="F838" t="str">
        <f>IFERROR(VLOOKUP(D838,Cadastro!$B$4:$H$100,3,FALSE),"")</f>
        <v/>
      </c>
      <c r="J838" s="7"/>
      <c r="K838" s="7"/>
      <c r="L838" s="7"/>
      <c r="M838" s="7"/>
      <c r="N838" s="7"/>
      <c r="O838" s="7"/>
      <c r="P838" s="8">
        <f t="shared" si="68"/>
        <v>0</v>
      </c>
      <c r="Q838" s="8">
        <f t="shared" si="69"/>
        <v>0</v>
      </c>
      <c r="R838" s="8">
        <f t="shared" si="70"/>
        <v>0</v>
      </c>
    </row>
    <row r="839" spans="1:18">
      <c r="A839" s="6"/>
      <c r="B839" t="str">
        <f t="shared" si="66"/>
        <v/>
      </c>
      <c r="C839" t="str">
        <f t="shared" si="67"/>
        <v/>
      </c>
      <c r="E839" t="str">
        <f>IFERROR(VLOOKUP(D839,Cadastro!$B$4:$H$100,2,FALSE),"")</f>
        <v/>
      </c>
      <c r="F839" t="str">
        <f>IFERROR(VLOOKUP(D839,Cadastro!$B$4:$H$100,3,FALSE),"")</f>
        <v/>
      </c>
      <c r="J839" s="7"/>
      <c r="K839" s="7"/>
      <c r="L839" s="7"/>
      <c r="M839" s="7"/>
      <c r="N839" s="7"/>
      <c r="O839" s="7"/>
      <c r="P839" s="8">
        <f t="shared" si="68"/>
        <v>0</v>
      </c>
      <c r="Q839" s="8">
        <f t="shared" si="69"/>
        <v>0</v>
      </c>
      <c r="R839" s="8">
        <f t="shared" si="70"/>
        <v>0</v>
      </c>
    </row>
    <row r="840" spans="1:18">
      <c r="A840" s="6"/>
      <c r="B840" t="str">
        <f t="shared" si="66"/>
        <v/>
      </c>
      <c r="C840" t="str">
        <f t="shared" si="67"/>
        <v/>
      </c>
      <c r="E840" t="str">
        <f>IFERROR(VLOOKUP(D840,Cadastro!$B$4:$H$100,2,FALSE),"")</f>
        <v/>
      </c>
      <c r="F840" t="str">
        <f>IFERROR(VLOOKUP(D840,Cadastro!$B$4:$H$100,3,FALSE),"")</f>
        <v/>
      </c>
      <c r="J840" s="7"/>
      <c r="K840" s="7"/>
      <c r="L840" s="7"/>
      <c r="M840" s="7"/>
      <c r="N840" s="7"/>
      <c r="O840" s="7"/>
      <c r="P840" s="8">
        <f t="shared" si="68"/>
        <v>0</v>
      </c>
      <c r="Q840" s="8">
        <f t="shared" si="69"/>
        <v>0</v>
      </c>
      <c r="R840" s="8">
        <f t="shared" si="70"/>
        <v>0</v>
      </c>
    </row>
    <row r="841" spans="1:18">
      <c r="A841" s="6"/>
      <c r="B841" t="str">
        <f t="shared" si="66"/>
        <v/>
      </c>
      <c r="C841" t="str">
        <f t="shared" si="67"/>
        <v/>
      </c>
      <c r="E841" t="str">
        <f>IFERROR(VLOOKUP(D841,Cadastro!$B$4:$H$100,2,FALSE),"")</f>
        <v/>
      </c>
      <c r="F841" t="str">
        <f>IFERROR(VLOOKUP(D841,Cadastro!$B$4:$H$100,3,FALSE),"")</f>
        <v/>
      </c>
      <c r="J841" s="7"/>
      <c r="K841" s="7"/>
      <c r="L841" s="7"/>
      <c r="M841" s="7"/>
      <c r="N841" s="7"/>
      <c r="O841" s="7"/>
      <c r="P841" s="8">
        <f t="shared" si="68"/>
        <v>0</v>
      </c>
      <c r="Q841" s="8">
        <f t="shared" si="69"/>
        <v>0</v>
      </c>
      <c r="R841" s="8">
        <f t="shared" si="70"/>
        <v>0</v>
      </c>
    </row>
    <row r="842" spans="1:18">
      <c r="A842" s="6"/>
      <c r="B842" t="str">
        <f t="shared" si="66"/>
        <v/>
      </c>
      <c r="C842" t="str">
        <f t="shared" si="67"/>
        <v/>
      </c>
      <c r="E842" t="str">
        <f>IFERROR(VLOOKUP(D842,Cadastro!$B$4:$H$100,2,FALSE),"")</f>
        <v/>
      </c>
      <c r="F842" t="str">
        <f>IFERROR(VLOOKUP(D842,Cadastro!$B$4:$H$100,3,FALSE),"")</f>
        <v/>
      </c>
      <c r="J842" s="7"/>
      <c r="K842" s="7"/>
      <c r="L842" s="7"/>
      <c r="M842" s="7"/>
      <c r="N842" s="7"/>
      <c r="O842" s="7"/>
      <c r="P842" s="8">
        <f t="shared" si="68"/>
        <v>0</v>
      </c>
      <c r="Q842" s="8">
        <f t="shared" si="69"/>
        <v>0</v>
      </c>
      <c r="R842" s="8">
        <f t="shared" si="70"/>
        <v>0</v>
      </c>
    </row>
    <row r="843" spans="1:18">
      <c r="A843" s="6"/>
      <c r="B843" t="str">
        <f t="shared" si="66"/>
        <v/>
      </c>
      <c r="C843" t="str">
        <f t="shared" si="67"/>
        <v/>
      </c>
      <c r="E843" t="str">
        <f>IFERROR(VLOOKUP(D843,Cadastro!$B$4:$H$100,2,FALSE),"")</f>
        <v/>
      </c>
      <c r="F843" t="str">
        <f>IFERROR(VLOOKUP(D843,Cadastro!$B$4:$H$100,3,FALSE),"")</f>
        <v/>
      </c>
      <c r="J843" s="7"/>
      <c r="K843" s="7"/>
      <c r="L843" s="7"/>
      <c r="M843" s="7"/>
      <c r="N843" s="7"/>
      <c r="O843" s="7"/>
      <c r="P843" s="8">
        <f t="shared" si="68"/>
        <v>0</v>
      </c>
      <c r="Q843" s="8">
        <f t="shared" si="69"/>
        <v>0</v>
      </c>
      <c r="R843" s="8">
        <f t="shared" si="70"/>
        <v>0</v>
      </c>
    </row>
    <row r="844" spans="1:18">
      <c r="A844" s="6"/>
      <c r="B844" t="str">
        <f t="shared" si="66"/>
        <v/>
      </c>
      <c r="C844" t="str">
        <f t="shared" si="67"/>
        <v/>
      </c>
      <c r="E844" t="str">
        <f>IFERROR(VLOOKUP(D844,Cadastro!$B$4:$H$100,2,FALSE),"")</f>
        <v/>
      </c>
      <c r="F844" t="str">
        <f>IFERROR(VLOOKUP(D844,Cadastro!$B$4:$H$100,3,FALSE),"")</f>
        <v/>
      </c>
      <c r="J844" s="7"/>
      <c r="K844" s="7"/>
      <c r="L844" s="7"/>
      <c r="M844" s="7"/>
      <c r="N844" s="7"/>
      <c r="O844" s="7"/>
      <c r="P844" s="8">
        <f t="shared" si="68"/>
        <v>0</v>
      </c>
      <c r="Q844" s="8">
        <f t="shared" si="69"/>
        <v>0</v>
      </c>
      <c r="R844" s="8">
        <f t="shared" si="70"/>
        <v>0</v>
      </c>
    </row>
    <row r="845" spans="1:18">
      <c r="A845" s="6"/>
      <c r="B845" t="str">
        <f t="shared" si="66"/>
        <v/>
      </c>
      <c r="C845" t="str">
        <f t="shared" si="67"/>
        <v/>
      </c>
      <c r="E845" t="str">
        <f>IFERROR(VLOOKUP(D845,Cadastro!$B$4:$H$100,2,FALSE),"")</f>
        <v/>
      </c>
      <c r="F845" t="str">
        <f>IFERROR(VLOOKUP(D845,Cadastro!$B$4:$H$100,3,FALSE),"")</f>
        <v/>
      </c>
      <c r="J845" s="7"/>
      <c r="K845" s="7"/>
      <c r="L845" s="7"/>
      <c r="M845" s="7"/>
      <c r="N845" s="7"/>
      <c r="O845" s="7"/>
      <c r="P845" s="8">
        <f t="shared" si="68"/>
        <v>0</v>
      </c>
      <c r="Q845" s="8">
        <f t="shared" si="69"/>
        <v>0</v>
      </c>
      <c r="R845" s="8">
        <f t="shared" si="70"/>
        <v>0</v>
      </c>
    </row>
    <row r="846" spans="1:18">
      <c r="A846" s="6"/>
      <c r="B846" t="str">
        <f t="shared" si="66"/>
        <v/>
      </c>
      <c r="C846" t="str">
        <f t="shared" si="67"/>
        <v/>
      </c>
      <c r="E846" t="str">
        <f>IFERROR(VLOOKUP(D846,Cadastro!$B$4:$H$100,2,FALSE),"")</f>
        <v/>
      </c>
      <c r="F846" t="str">
        <f>IFERROR(VLOOKUP(D846,Cadastro!$B$4:$H$100,3,FALSE),"")</f>
        <v/>
      </c>
      <c r="J846" s="7"/>
      <c r="K846" s="7"/>
      <c r="L846" s="7"/>
      <c r="M846" s="7"/>
      <c r="N846" s="7"/>
      <c r="O846" s="7"/>
      <c r="P846" s="8">
        <f t="shared" si="68"/>
        <v>0</v>
      </c>
      <c r="Q846" s="8">
        <f t="shared" si="69"/>
        <v>0</v>
      </c>
      <c r="R846" s="8">
        <f t="shared" si="70"/>
        <v>0</v>
      </c>
    </row>
    <row r="847" spans="1:18">
      <c r="A847" s="6"/>
      <c r="B847" t="str">
        <f t="shared" si="66"/>
        <v/>
      </c>
      <c r="C847" t="str">
        <f t="shared" si="67"/>
        <v/>
      </c>
      <c r="E847" t="str">
        <f>IFERROR(VLOOKUP(D847,Cadastro!$B$4:$H$100,2,FALSE),"")</f>
        <v/>
      </c>
      <c r="F847" t="str">
        <f>IFERROR(VLOOKUP(D847,Cadastro!$B$4:$H$100,3,FALSE),"")</f>
        <v/>
      </c>
      <c r="J847" s="7"/>
      <c r="K847" s="7"/>
      <c r="L847" s="7"/>
      <c r="M847" s="7"/>
      <c r="N847" s="7"/>
      <c r="O847" s="7"/>
      <c r="P847" s="8">
        <f t="shared" si="68"/>
        <v>0</v>
      </c>
      <c r="Q847" s="8">
        <f t="shared" si="69"/>
        <v>0</v>
      </c>
      <c r="R847" s="8">
        <f t="shared" si="70"/>
        <v>0</v>
      </c>
    </row>
    <row r="848" spans="1:18">
      <c r="A848" s="6"/>
      <c r="B848" t="str">
        <f t="shared" si="66"/>
        <v/>
      </c>
      <c r="C848" t="str">
        <f t="shared" si="67"/>
        <v/>
      </c>
      <c r="E848" t="str">
        <f>IFERROR(VLOOKUP(D848,Cadastro!$B$4:$H$100,2,FALSE),"")</f>
        <v/>
      </c>
      <c r="F848" t="str">
        <f>IFERROR(VLOOKUP(D848,Cadastro!$B$4:$H$100,3,FALSE),"")</f>
        <v/>
      </c>
      <c r="J848" s="7"/>
      <c r="K848" s="7"/>
      <c r="L848" s="7"/>
      <c r="M848" s="7"/>
      <c r="N848" s="7"/>
      <c r="O848" s="7"/>
      <c r="P848" s="8">
        <f t="shared" si="68"/>
        <v>0</v>
      </c>
      <c r="Q848" s="8">
        <f t="shared" si="69"/>
        <v>0</v>
      </c>
      <c r="R848" s="8">
        <f t="shared" si="70"/>
        <v>0</v>
      </c>
    </row>
    <row r="849" spans="1:18">
      <c r="A849" s="6"/>
      <c r="B849" t="str">
        <f t="shared" si="66"/>
        <v/>
      </c>
      <c r="C849" t="str">
        <f t="shared" si="67"/>
        <v/>
      </c>
      <c r="E849" t="str">
        <f>IFERROR(VLOOKUP(D849,Cadastro!$B$4:$H$100,2,FALSE),"")</f>
        <v/>
      </c>
      <c r="F849" t="str">
        <f>IFERROR(VLOOKUP(D849,Cadastro!$B$4:$H$100,3,FALSE),"")</f>
        <v/>
      </c>
      <c r="J849" s="7"/>
      <c r="K849" s="7"/>
      <c r="L849" s="7"/>
      <c r="M849" s="7"/>
      <c r="N849" s="7"/>
      <c r="O849" s="7"/>
      <c r="P849" s="8">
        <f t="shared" si="68"/>
        <v>0</v>
      </c>
      <c r="Q849" s="8">
        <f t="shared" si="69"/>
        <v>0</v>
      </c>
      <c r="R849" s="8">
        <f t="shared" si="70"/>
        <v>0</v>
      </c>
    </row>
    <row r="850" spans="1:18">
      <c r="A850" s="6"/>
      <c r="B850" t="str">
        <f t="shared" si="66"/>
        <v/>
      </c>
      <c r="C850" t="str">
        <f t="shared" si="67"/>
        <v/>
      </c>
      <c r="E850" t="str">
        <f>IFERROR(VLOOKUP(D850,Cadastro!$B$4:$H$100,2,FALSE),"")</f>
        <v/>
      </c>
      <c r="F850" t="str">
        <f>IFERROR(VLOOKUP(D850,Cadastro!$B$4:$H$100,3,FALSE),"")</f>
        <v/>
      </c>
      <c r="J850" s="7"/>
      <c r="K850" s="7"/>
      <c r="L850" s="7"/>
      <c r="M850" s="7"/>
      <c r="N850" s="7"/>
      <c r="O850" s="7"/>
      <c r="P850" s="8">
        <f t="shared" si="68"/>
        <v>0</v>
      </c>
      <c r="Q850" s="8">
        <f t="shared" si="69"/>
        <v>0</v>
      </c>
      <c r="R850" s="8">
        <f t="shared" si="70"/>
        <v>0</v>
      </c>
    </row>
    <row r="851" spans="1:18">
      <c r="A851" s="6"/>
      <c r="B851" t="str">
        <f t="shared" si="66"/>
        <v/>
      </c>
      <c r="C851" t="str">
        <f t="shared" si="67"/>
        <v/>
      </c>
      <c r="E851" t="str">
        <f>IFERROR(VLOOKUP(D851,Cadastro!$B$4:$H$100,2,FALSE),"")</f>
        <v/>
      </c>
      <c r="F851" t="str">
        <f>IFERROR(VLOOKUP(D851,Cadastro!$B$4:$H$100,3,FALSE),"")</f>
        <v/>
      </c>
      <c r="J851" s="7"/>
      <c r="K851" s="7"/>
      <c r="L851" s="7"/>
      <c r="M851" s="7"/>
      <c r="N851" s="7"/>
      <c r="O851" s="7"/>
      <c r="P851" s="8">
        <f t="shared" si="68"/>
        <v>0</v>
      </c>
      <c r="Q851" s="8">
        <f t="shared" si="69"/>
        <v>0</v>
      </c>
      <c r="R851" s="8">
        <f t="shared" si="70"/>
        <v>0</v>
      </c>
    </row>
    <row r="852" spans="1:18">
      <c r="A852" s="6"/>
      <c r="B852" t="str">
        <f t="shared" si="66"/>
        <v/>
      </c>
      <c r="C852" t="str">
        <f t="shared" si="67"/>
        <v/>
      </c>
      <c r="E852" t="str">
        <f>IFERROR(VLOOKUP(D852,Cadastro!$B$4:$H$100,2,FALSE),"")</f>
        <v/>
      </c>
      <c r="F852" t="str">
        <f>IFERROR(VLOOKUP(D852,Cadastro!$B$4:$H$100,3,FALSE),"")</f>
        <v/>
      </c>
      <c r="J852" s="7"/>
      <c r="K852" s="7"/>
      <c r="L852" s="7"/>
      <c r="M852" s="7"/>
      <c r="N852" s="7"/>
      <c r="O852" s="7"/>
      <c r="P852" s="8">
        <f t="shared" si="68"/>
        <v>0</v>
      </c>
      <c r="Q852" s="8">
        <f t="shared" si="69"/>
        <v>0</v>
      </c>
      <c r="R852" s="8">
        <f t="shared" si="70"/>
        <v>0</v>
      </c>
    </row>
    <row r="853" spans="1:18">
      <c r="A853" s="6"/>
      <c r="B853" t="str">
        <f t="shared" si="66"/>
        <v/>
      </c>
      <c r="C853" t="str">
        <f t="shared" si="67"/>
        <v/>
      </c>
      <c r="E853" t="str">
        <f>IFERROR(VLOOKUP(D853,Cadastro!$B$4:$H$100,2,FALSE),"")</f>
        <v/>
      </c>
      <c r="F853" t="str">
        <f>IFERROR(VLOOKUP(D853,Cadastro!$B$4:$H$100,3,FALSE),"")</f>
        <v/>
      </c>
      <c r="J853" s="7"/>
      <c r="K853" s="7"/>
      <c r="L853" s="7"/>
      <c r="M853" s="7"/>
      <c r="N853" s="7"/>
      <c r="O853" s="7"/>
      <c r="P853" s="8">
        <f t="shared" si="68"/>
        <v>0</v>
      </c>
      <c r="Q853" s="8">
        <f t="shared" si="69"/>
        <v>0</v>
      </c>
      <c r="R853" s="8">
        <f t="shared" si="70"/>
        <v>0</v>
      </c>
    </row>
    <row r="854" spans="1:18">
      <c r="A854" s="6"/>
      <c r="B854" t="str">
        <f t="shared" si="66"/>
        <v/>
      </c>
      <c r="C854" t="str">
        <f t="shared" si="67"/>
        <v/>
      </c>
      <c r="E854" t="str">
        <f>IFERROR(VLOOKUP(D854,Cadastro!$B$4:$H$100,2,FALSE),"")</f>
        <v/>
      </c>
      <c r="F854" t="str">
        <f>IFERROR(VLOOKUP(D854,Cadastro!$B$4:$H$100,3,FALSE),"")</f>
        <v/>
      </c>
      <c r="J854" s="7"/>
      <c r="K854" s="7"/>
      <c r="L854" s="7"/>
      <c r="M854" s="7"/>
      <c r="N854" s="7"/>
      <c r="O854" s="7"/>
      <c r="P854" s="8">
        <f t="shared" si="68"/>
        <v>0</v>
      </c>
      <c r="Q854" s="8">
        <f t="shared" si="69"/>
        <v>0</v>
      </c>
      <c r="R854" s="8">
        <f t="shared" si="70"/>
        <v>0</v>
      </c>
    </row>
    <row r="855" spans="1:18">
      <c r="A855" s="6"/>
      <c r="B855" t="str">
        <f t="shared" si="66"/>
        <v/>
      </c>
      <c r="C855" t="str">
        <f t="shared" si="67"/>
        <v/>
      </c>
      <c r="E855" t="str">
        <f>IFERROR(VLOOKUP(D855,Cadastro!$B$4:$H$100,2,FALSE),"")</f>
        <v/>
      </c>
      <c r="F855" t="str">
        <f>IFERROR(VLOOKUP(D855,Cadastro!$B$4:$H$100,3,FALSE),"")</f>
        <v/>
      </c>
      <c r="J855" s="7"/>
      <c r="K855" s="7"/>
      <c r="L855" s="7"/>
      <c r="M855" s="7"/>
      <c r="N855" s="7"/>
      <c r="O855" s="7"/>
      <c r="P855" s="8">
        <f t="shared" si="68"/>
        <v>0</v>
      </c>
      <c r="Q855" s="8">
        <f t="shared" si="69"/>
        <v>0</v>
      </c>
      <c r="R855" s="8">
        <f t="shared" si="70"/>
        <v>0</v>
      </c>
    </row>
    <row r="856" spans="1:18">
      <c r="A856" s="6"/>
      <c r="B856" t="str">
        <f t="shared" si="66"/>
        <v/>
      </c>
      <c r="C856" t="str">
        <f t="shared" si="67"/>
        <v/>
      </c>
      <c r="E856" t="str">
        <f>IFERROR(VLOOKUP(D856,Cadastro!$B$4:$H$100,2,FALSE),"")</f>
        <v/>
      </c>
      <c r="F856" t="str">
        <f>IFERROR(VLOOKUP(D856,Cadastro!$B$4:$H$100,3,FALSE),"")</f>
        <v/>
      </c>
      <c r="J856" s="7"/>
      <c r="K856" s="7"/>
      <c r="L856" s="7"/>
      <c r="M856" s="7"/>
      <c r="N856" s="7"/>
      <c r="O856" s="7"/>
      <c r="P856" s="8">
        <f t="shared" si="68"/>
        <v>0</v>
      </c>
      <c r="Q856" s="8">
        <f t="shared" si="69"/>
        <v>0</v>
      </c>
      <c r="R856" s="8">
        <f t="shared" si="70"/>
        <v>0</v>
      </c>
    </row>
    <row r="857" spans="1:18">
      <c r="A857" s="6"/>
      <c r="B857" t="str">
        <f t="shared" si="66"/>
        <v/>
      </c>
      <c r="C857" t="str">
        <f t="shared" si="67"/>
        <v/>
      </c>
      <c r="E857" t="str">
        <f>IFERROR(VLOOKUP(D857,Cadastro!$B$4:$H$100,2,FALSE),"")</f>
        <v/>
      </c>
      <c r="F857" t="str">
        <f>IFERROR(VLOOKUP(D857,Cadastro!$B$4:$H$100,3,FALSE),"")</f>
        <v/>
      </c>
      <c r="J857" s="7"/>
      <c r="K857" s="7"/>
      <c r="L857" s="7"/>
      <c r="M857" s="7"/>
      <c r="N857" s="7"/>
      <c r="O857" s="7"/>
      <c r="P857" s="8">
        <f t="shared" si="68"/>
        <v>0</v>
      </c>
      <c r="Q857" s="8">
        <f t="shared" si="69"/>
        <v>0</v>
      </c>
      <c r="R857" s="8">
        <f t="shared" si="70"/>
        <v>0</v>
      </c>
    </row>
    <row r="858" spans="1:18">
      <c r="A858" s="6"/>
      <c r="B858" t="str">
        <f t="shared" si="66"/>
        <v/>
      </c>
      <c r="C858" t="str">
        <f t="shared" si="67"/>
        <v/>
      </c>
      <c r="E858" t="str">
        <f>IFERROR(VLOOKUP(D858,Cadastro!$B$4:$H$100,2,FALSE),"")</f>
        <v/>
      </c>
      <c r="F858" t="str">
        <f>IFERROR(VLOOKUP(D858,Cadastro!$B$4:$H$100,3,FALSE),"")</f>
        <v/>
      </c>
      <c r="J858" s="7"/>
      <c r="K858" s="7"/>
      <c r="L858" s="7"/>
      <c r="M858" s="7"/>
      <c r="N858" s="7"/>
      <c r="O858" s="7"/>
      <c r="P858" s="8">
        <f t="shared" si="68"/>
        <v>0</v>
      </c>
      <c r="Q858" s="8">
        <f t="shared" si="69"/>
        <v>0</v>
      </c>
      <c r="R858" s="8">
        <f t="shared" si="70"/>
        <v>0</v>
      </c>
    </row>
    <row r="859" spans="1:18">
      <c r="A859" s="6"/>
      <c r="B859" t="str">
        <f t="shared" si="66"/>
        <v/>
      </c>
      <c r="C859" t="str">
        <f t="shared" si="67"/>
        <v/>
      </c>
      <c r="E859" t="str">
        <f>IFERROR(VLOOKUP(D859,Cadastro!$B$4:$H$100,2,FALSE),"")</f>
        <v/>
      </c>
      <c r="F859" t="str">
        <f>IFERROR(VLOOKUP(D859,Cadastro!$B$4:$H$100,3,FALSE),"")</f>
        <v/>
      </c>
      <c r="J859" s="7"/>
      <c r="K859" s="7"/>
      <c r="L859" s="7"/>
      <c r="M859" s="7"/>
      <c r="N859" s="7"/>
      <c r="O859" s="7"/>
      <c r="P859" s="8">
        <f t="shared" si="68"/>
        <v>0</v>
      </c>
      <c r="Q859" s="8">
        <f t="shared" si="69"/>
        <v>0</v>
      </c>
      <c r="R859" s="8">
        <f t="shared" si="70"/>
        <v>0</v>
      </c>
    </row>
    <row r="860" spans="1:18">
      <c r="A860" s="6"/>
      <c r="B860" t="str">
        <f t="shared" si="66"/>
        <v/>
      </c>
      <c r="C860" t="str">
        <f t="shared" si="67"/>
        <v/>
      </c>
      <c r="E860" t="str">
        <f>IFERROR(VLOOKUP(D860,Cadastro!$B$4:$H$100,2,FALSE),"")</f>
        <v/>
      </c>
      <c r="F860" t="str">
        <f>IFERROR(VLOOKUP(D860,Cadastro!$B$4:$H$100,3,FALSE),"")</f>
        <v/>
      </c>
      <c r="J860" s="7"/>
      <c r="K860" s="7"/>
      <c r="L860" s="7"/>
      <c r="M860" s="7"/>
      <c r="N860" s="7"/>
      <c r="O860" s="7"/>
      <c r="P860" s="8">
        <f t="shared" si="68"/>
        <v>0</v>
      </c>
      <c r="Q860" s="8">
        <f t="shared" si="69"/>
        <v>0</v>
      </c>
      <c r="R860" s="8">
        <f t="shared" si="70"/>
        <v>0</v>
      </c>
    </row>
    <row r="861" spans="1:18">
      <c r="A861" s="6"/>
      <c r="B861" t="str">
        <f t="shared" si="66"/>
        <v/>
      </c>
      <c r="C861" t="str">
        <f t="shared" si="67"/>
        <v/>
      </c>
      <c r="E861" t="str">
        <f>IFERROR(VLOOKUP(D861,Cadastro!$B$4:$H$100,2,FALSE),"")</f>
        <v/>
      </c>
      <c r="F861" t="str">
        <f>IFERROR(VLOOKUP(D861,Cadastro!$B$4:$H$100,3,FALSE),"")</f>
        <v/>
      </c>
      <c r="J861" s="7"/>
      <c r="K861" s="7"/>
      <c r="L861" s="7"/>
      <c r="M861" s="7"/>
      <c r="N861" s="7"/>
      <c r="O861" s="7"/>
      <c r="P861" s="8">
        <f t="shared" si="68"/>
        <v>0</v>
      </c>
      <c r="Q861" s="8">
        <f t="shared" si="69"/>
        <v>0</v>
      </c>
      <c r="R861" s="8">
        <f t="shared" si="70"/>
        <v>0</v>
      </c>
    </row>
    <row r="862" spans="1:18">
      <c r="A862" s="6"/>
      <c r="B862" t="str">
        <f t="shared" si="66"/>
        <v/>
      </c>
      <c r="C862" t="str">
        <f t="shared" si="67"/>
        <v/>
      </c>
      <c r="E862" t="str">
        <f>IFERROR(VLOOKUP(D862,Cadastro!$B$4:$H$100,2,FALSE),"")</f>
        <v/>
      </c>
      <c r="F862" t="str">
        <f>IFERROR(VLOOKUP(D862,Cadastro!$B$4:$H$100,3,FALSE),"")</f>
        <v/>
      </c>
      <c r="J862" s="7"/>
      <c r="K862" s="7"/>
      <c r="L862" s="7"/>
      <c r="M862" s="7"/>
      <c r="N862" s="7"/>
      <c r="O862" s="7"/>
      <c r="P862" s="8">
        <f t="shared" si="68"/>
        <v>0</v>
      </c>
      <c r="Q862" s="8">
        <f t="shared" si="69"/>
        <v>0</v>
      </c>
      <c r="R862" s="8">
        <f t="shared" si="70"/>
        <v>0</v>
      </c>
    </row>
    <row r="863" spans="1:18">
      <c r="A863" s="6"/>
      <c r="B863" t="str">
        <f t="shared" si="66"/>
        <v/>
      </c>
      <c r="C863" t="str">
        <f t="shared" si="67"/>
        <v/>
      </c>
      <c r="E863" t="str">
        <f>IFERROR(VLOOKUP(D863,Cadastro!$B$4:$H$100,2,FALSE),"")</f>
        <v/>
      </c>
      <c r="F863" t="str">
        <f>IFERROR(VLOOKUP(D863,Cadastro!$B$4:$H$100,3,FALSE),"")</f>
        <v/>
      </c>
      <c r="J863" s="7"/>
      <c r="K863" s="7"/>
      <c r="L863" s="7"/>
      <c r="M863" s="7"/>
      <c r="N863" s="7"/>
      <c r="O863" s="7"/>
      <c r="P863" s="8">
        <f t="shared" si="68"/>
        <v>0</v>
      </c>
      <c r="Q863" s="8">
        <f t="shared" si="69"/>
        <v>0</v>
      </c>
      <c r="R863" s="8">
        <f t="shared" si="70"/>
        <v>0</v>
      </c>
    </row>
    <row r="864" spans="1:18">
      <c r="A864" s="6"/>
      <c r="B864" t="str">
        <f t="shared" si="66"/>
        <v/>
      </c>
      <c r="C864" t="str">
        <f t="shared" si="67"/>
        <v/>
      </c>
      <c r="E864" t="str">
        <f>IFERROR(VLOOKUP(D864,Cadastro!$B$4:$H$100,2,FALSE),"")</f>
        <v/>
      </c>
      <c r="F864" t="str">
        <f>IFERROR(VLOOKUP(D864,Cadastro!$B$4:$H$100,3,FALSE),"")</f>
        <v/>
      </c>
      <c r="J864" s="7"/>
      <c r="K864" s="7"/>
      <c r="L864" s="7"/>
      <c r="M864" s="7"/>
      <c r="N864" s="7"/>
      <c r="O864" s="7"/>
      <c r="P864" s="8">
        <f t="shared" si="68"/>
        <v>0</v>
      </c>
      <c r="Q864" s="8">
        <f t="shared" si="69"/>
        <v>0</v>
      </c>
      <c r="R864" s="8">
        <f t="shared" si="70"/>
        <v>0</v>
      </c>
    </row>
    <row r="865" spans="1:18">
      <c r="A865" s="6"/>
      <c r="B865" t="str">
        <f t="shared" si="66"/>
        <v/>
      </c>
      <c r="C865" t="str">
        <f t="shared" si="67"/>
        <v/>
      </c>
      <c r="E865" t="str">
        <f>IFERROR(VLOOKUP(D865,Cadastro!$B$4:$H$100,2,FALSE),"")</f>
        <v/>
      </c>
      <c r="F865" t="str">
        <f>IFERROR(VLOOKUP(D865,Cadastro!$B$4:$H$100,3,FALSE),"")</f>
        <v/>
      </c>
      <c r="J865" s="7"/>
      <c r="K865" s="7"/>
      <c r="L865" s="7"/>
      <c r="M865" s="7"/>
      <c r="N865" s="7"/>
      <c r="O865" s="7"/>
      <c r="P865" s="8">
        <f t="shared" si="68"/>
        <v>0</v>
      </c>
      <c r="Q865" s="8">
        <f t="shared" si="69"/>
        <v>0</v>
      </c>
      <c r="R865" s="8">
        <f t="shared" si="70"/>
        <v>0</v>
      </c>
    </row>
    <row r="866" spans="1:18">
      <c r="A866" s="6"/>
      <c r="B866" t="str">
        <f t="shared" si="66"/>
        <v/>
      </c>
      <c r="C866" t="str">
        <f t="shared" si="67"/>
        <v/>
      </c>
      <c r="E866" t="str">
        <f>IFERROR(VLOOKUP(D866,Cadastro!$B$4:$H$100,2,FALSE),"")</f>
        <v/>
      </c>
      <c r="F866" t="str">
        <f>IFERROR(VLOOKUP(D866,Cadastro!$B$4:$H$100,3,FALSE),"")</f>
        <v/>
      </c>
      <c r="J866" s="7"/>
      <c r="K866" s="7"/>
      <c r="L866" s="7"/>
      <c r="M866" s="7"/>
      <c r="N866" s="7"/>
      <c r="O866" s="7"/>
      <c r="P866" s="8">
        <f t="shared" si="68"/>
        <v>0</v>
      </c>
      <c r="Q866" s="8">
        <f t="shared" si="69"/>
        <v>0</v>
      </c>
      <c r="R866" s="8">
        <f t="shared" si="70"/>
        <v>0</v>
      </c>
    </row>
    <row r="867" spans="1:18">
      <c r="A867" s="6"/>
      <c r="B867" t="str">
        <f t="shared" si="66"/>
        <v/>
      </c>
      <c r="C867" t="str">
        <f t="shared" si="67"/>
        <v/>
      </c>
      <c r="E867" t="str">
        <f>IFERROR(VLOOKUP(D867,Cadastro!$B$4:$H$100,2,FALSE),"")</f>
        <v/>
      </c>
      <c r="F867" t="str">
        <f>IFERROR(VLOOKUP(D867,Cadastro!$B$4:$H$100,3,FALSE),"")</f>
        <v/>
      </c>
      <c r="J867" s="7"/>
      <c r="K867" s="7"/>
      <c r="L867" s="7"/>
      <c r="M867" s="7"/>
      <c r="N867" s="7"/>
      <c r="O867" s="7"/>
      <c r="P867" s="8">
        <f t="shared" si="68"/>
        <v>0</v>
      </c>
      <c r="Q867" s="8">
        <f t="shared" si="69"/>
        <v>0</v>
      </c>
      <c r="R867" s="8">
        <f t="shared" si="70"/>
        <v>0</v>
      </c>
    </row>
    <row r="868" spans="1:18">
      <c r="A868" s="6"/>
      <c r="B868" t="str">
        <f t="shared" si="66"/>
        <v/>
      </c>
      <c r="C868" t="str">
        <f t="shared" si="67"/>
        <v/>
      </c>
      <c r="E868" t="str">
        <f>IFERROR(VLOOKUP(D868,Cadastro!$B$4:$H$100,2,FALSE),"")</f>
        <v/>
      </c>
      <c r="F868" t="str">
        <f>IFERROR(VLOOKUP(D868,Cadastro!$B$4:$H$100,3,FALSE),"")</f>
        <v/>
      </c>
      <c r="J868" s="7"/>
      <c r="K868" s="7"/>
      <c r="L868" s="7"/>
      <c r="M868" s="7"/>
      <c r="N868" s="7"/>
      <c r="O868" s="7"/>
      <c r="P868" s="8">
        <f t="shared" si="68"/>
        <v>0</v>
      </c>
      <c r="Q868" s="8">
        <f t="shared" si="69"/>
        <v>0</v>
      </c>
      <c r="R868" s="8">
        <f t="shared" si="70"/>
        <v>0</v>
      </c>
    </row>
    <row r="869" spans="1:18">
      <c r="A869" s="6"/>
      <c r="B869" t="str">
        <f t="shared" si="66"/>
        <v/>
      </c>
      <c r="C869" t="str">
        <f t="shared" si="67"/>
        <v/>
      </c>
      <c r="E869" t="str">
        <f>IFERROR(VLOOKUP(D869,Cadastro!$B$4:$H$100,2,FALSE),"")</f>
        <v/>
      </c>
      <c r="F869" t="str">
        <f>IFERROR(VLOOKUP(D869,Cadastro!$B$4:$H$100,3,FALSE),"")</f>
        <v/>
      </c>
      <c r="J869" s="7"/>
      <c r="K869" s="7"/>
      <c r="L869" s="7"/>
      <c r="M869" s="7"/>
      <c r="N869" s="7"/>
      <c r="O869" s="7"/>
      <c r="P869" s="8">
        <f t="shared" si="68"/>
        <v>0</v>
      </c>
      <c r="Q869" s="8">
        <f t="shared" si="69"/>
        <v>0</v>
      </c>
      <c r="R869" s="8">
        <f t="shared" si="70"/>
        <v>0</v>
      </c>
    </row>
    <row r="870" spans="1:18">
      <c r="A870" s="6"/>
      <c r="B870" t="str">
        <f t="shared" si="66"/>
        <v/>
      </c>
      <c r="C870" t="str">
        <f t="shared" si="67"/>
        <v/>
      </c>
      <c r="E870" t="str">
        <f>IFERROR(VLOOKUP(D870,Cadastro!$B$4:$H$100,2,FALSE),"")</f>
        <v/>
      </c>
      <c r="F870" t="str">
        <f>IFERROR(VLOOKUP(D870,Cadastro!$B$4:$H$100,3,FALSE),"")</f>
        <v/>
      </c>
      <c r="J870" s="7"/>
      <c r="K870" s="7"/>
      <c r="L870" s="7"/>
      <c r="M870" s="7"/>
      <c r="N870" s="7"/>
      <c r="O870" s="7"/>
      <c r="P870" s="8">
        <f t="shared" si="68"/>
        <v>0</v>
      </c>
      <c r="Q870" s="8">
        <f t="shared" si="69"/>
        <v>0</v>
      </c>
      <c r="R870" s="8">
        <f t="shared" si="70"/>
        <v>0</v>
      </c>
    </row>
    <row r="871" spans="1:18">
      <c r="A871" s="6"/>
      <c r="B871" t="str">
        <f t="shared" si="66"/>
        <v/>
      </c>
      <c r="C871" t="str">
        <f t="shared" si="67"/>
        <v/>
      </c>
      <c r="E871" t="str">
        <f>IFERROR(VLOOKUP(D871,Cadastro!$B$4:$H$100,2,FALSE),"")</f>
        <v/>
      </c>
      <c r="F871" t="str">
        <f>IFERROR(VLOOKUP(D871,Cadastro!$B$4:$H$100,3,FALSE),"")</f>
        <v/>
      </c>
      <c r="J871" s="7"/>
      <c r="K871" s="7"/>
      <c r="L871" s="7"/>
      <c r="M871" s="7"/>
      <c r="N871" s="7"/>
      <c r="O871" s="7"/>
      <c r="P871" s="8">
        <f t="shared" si="68"/>
        <v>0</v>
      </c>
      <c r="Q871" s="8">
        <f t="shared" si="69"/>
        <v>0</v>
      </c>
      <c r="R871" s="8">
        <f t="shared" si="70"/>
        <v>0</v>
      </c>
    </row>
    <row r="872" spans="1:18">
      <c r="A872" s="6"/>
      <c r="B872" t="str">
        <f t="shared" si="66"/>
        <v/>
      </c>
      <c r="C872" t="str">
        <f t="shared" si="67"/>
        <v/>
      </c>
      <c r="E872" t="str">
        <f>IFERROR(VLOOKUP(D872,Cadastro!$B$4:$H$100,2,FALSE),"")</f>
        <v/>
      </c>
      <c r="F872" t="str">
        <f>IFERROR(VLOOKUP(D872,Cadastro!$B$4:$H$100,3,FALSE),"")</f>
        <v/>
      </c>
      <c r="J872" s="7"/>
      <c r="K872" s="7"/>
      <c r="L872" s="7"/>
      <c r="M872" s="7"/>
      <c r="N872" s="7"/>
      <c r="O872" s="7"/>
      <c r="P872" s="8">
        <f t="shared" si="68"/>
        <v>0</v>
      </c>
      <c r="Q872" s="8">
        <f t="shared" si="69"/>
        <v>0</v>
      </c>
      <c r="R872" s="8">
        <f t="shared" si="70"/>
        <v>0</v>
      </c>
    </row>
    <row r="873" spans="1:18">
      <c r="A873" s="6"/>
      <c r="B873" t="str">
        <f t="shared" si="66"/>
        <v/>
      </c>
      <c r="C873" t="str">
        <f t="shared" si="67"/>
        <v/>
      </c>
      <c r="E873" t="str">
        <f>IFERROR(VLOOKUP(D873,Cadastro!$B$4:$H$100,2,FALSE),"")</f>
        <v/>
      </c>
      <c r="F873" t="str">
        <f>IFERROR(VLOOKUP(D873,Cadastro!$B$4:$H$100,3,FALSE),"")</f>
        <v/>
      </c>
      <c r="J873" s="7"/>
      <c r="K873" s="7"/>
      <c r="L873" s="7"/>
      <c r="M873" s="7"/>
      <c r="N873" s="7"/>
      <c r="O873" s="7"/>
      <c r="P873" s="8">
        <f t="shared" si="68"/>
        <v>0</v>
      </c>
      <c r="Q873" s="8">
        <f t="shared" si="69"/>
        <v>0</v>
      </c>
      <c r="R873" s="8">
        <f t="shared" si="70"/>
        <v>0</v>
      </c>
    </row>
    <row r="874" spans="1:18">
      <c r="A874" s="6"/>
      <c r="B874" t="str">
        <f t="shared" si="66"/>
        <v/>
      </c>
      <c r="C874" t="str">
        <f t="shared" si="67"/>
        <v/>
      </c>
      <c r="E874" t="str">
        <f>IFERROR(VLOOKUP(D874,Cadastro!$B$4:$H$100,2,FALSE),"")</f>
        <v/>
      </c>
      <c r="F874" t="str">
        <f>IFERROR(VLOOKUP(D874,Cadastro!$B$4:$H$100,3,FALSE),"")</f>
        <v/>
      </c>
      <c r="J874" s="7"/>
      <c r="K874" s="7"/>
      <c r="L874" s="7"/>
      <c r="M874" s="7"/>
      <c r="N874" s="7"/>
      <c r="O874" s="7"/>
      <c r="P874" s="8">
        <f t="shared" si="68"/>
        <v>0</v>
      </c>
      <c r="Q874" s="8">
        <f t="shared" si="69"/>
        <v>0</v>
      </c>
      <c r="R874" s="8">
        <f t="shared" si="70"/>
        <v>0</v>
      </c>
    </row>
    <row r="875" spans="1:18">
      <c r="A875" s="6"/>
      <c r="B875" t="str">
        <f t="shared" si="66"/>
        <v/>
      </c>
      <c r="C875" t="str">
        <f t="shared" si="67"/>
        <v/>
      </c>
      <c r="E875" t="str">
        <f>IFERROR(VLOOKUP(D875,Cadastro!$B$4:$H$100,2,FALSE),"")</f>
        <v/>
      </c>
      <c r="F875" t="str">
        <f>IFERROR(VLOOKUP(D875,Cadastro!$B$4:$H$100,3,FALSE),"")</f>
        <v/>
      </c>
      <c r="J875" s="7"/>
      <c r="K875" s="7"/>
      <c r="L875" s="7"/>
      <c r="M875" s="7"/>
      <c r="N875" s="7"/>
      <c r="O875" s="7"/>
      <c r="P875" s="8">
        <f t="shared" si="68"/>
        <v>0</v>
      </c>
      <c r="Q875" s="8">
        <f t="shared" si="69"/>
        <v>0</v>
      </c>
      <c r="R875" s="8">
        <f t="shared" si="70"/>
        <v>0</v>
      </c>
    </row>
    <row r="876" spans="1:18">
      <c r="A876" s="6"/>
      <c r="B876" t="str">
        <f t="shared" si="66"/>
        <v/>
      </c>
      <c r="C876" t="str">
        <f t="shared" si="67"/>
        <v/>
      </c>
      <c r="E876" t="str">
        <f>IFERROR(VLOOKUP(D876,Cadastro!$B$4:$H$100,2,FALSE),"")</f>
        <v/>
      </c>
      <c r="F876" t="str">
        <f>IFERROR(VLOOKUP(D876,Cadastro!$B$4:$H$100,3,FALSE),"")</f>
        <v/>
      </c>
      <c r="J876" s="7"/>
      <c r="K876" s="7"/>
      <c r="L876" s="7"/>
      <c r="M876" s="7"/>
      <c r="N876" s="7"/>
      <c r="O876" s="7"/>
      <c r="P876" s="8">
        <f t="shared" si="68"/>
        <v>0</v>
      </c>
      <c r="Q876" s="8">
        <f t="shared" si="69"/>
        <v>0</v>
      </c>
      <c r="R876" s="8">
        <f t="shared" si="70"/>
        <v>0</v>
      </c>
    </row>
    <row r="877" spans="1:18">
      <c r="A877" s="6"/>
      <c r="B877" t="str">
        <f t="shared" si="66"/>
        <v/>
      </c>
      <c r="C877" t="str">
        <f t="shared" si="67"/>
        <v/>
      </c>
      <c r="E877" t="str">
        <f>IFERROR(VLOOKUP(D877,Cadastro!$B$4:$H$100,2,FALSE),"")</f>
        <v/>
      </c>
      <c r="F877" t="str">
        <f>IFERROR(VLOOKUP(D877,Cadastro!$B$4:$H$100,3,FALSE),"")</f>
        <v/>
      </c>
      <c r="J877" s="7"/>
      <c r="K877" s="7"/>
      <c r="L877" s="7"/>
      <c r="M877" s="7"/>
      <c r="N877" s="7"/>
      <c r="O877" s="7"/>
      <c r="P877" s="8">
        <f t="shared" si="68"/>
        <v>0</v>
      </c>
      <c r="Q877" s="8">
        <f t="shared" si="69"/>
        <v>0</v>
      </c>
      <c r="R877" s="8">
        <f t="shared" si="70"/>
        <v>0</v>
      </c>
    </row>
    <row r="878" spans="1:18">
      <c r="A878" s="6"/>
      <c r="B878" t="str">
        <f t="shared" si="66"/>
        <v/>
      </c>
      <c r="C878" t="str">
        <f t="shared" si="67"/>
        <v/>
      </c>
      <c r="E878" t="str">
        <f>IFERROR(VLOOKUP(D878,Cadastro!$B$4:$H$100,2,FALSE),"")</f>
        <v/>
      </c>
      <c r="F878" t="str">
        <f>IFERROR(VLOOKUP(D878,Cadastro!$B$4:$H$100,3,FALSE),"")</f>
        <v/>
      </c>
      <c r="J878" s="7"/>
      <c r="K878" s="7"/>
      <c r="L878" s="7"/>
      <c r="M878" s="7"/>
      <c r="N878" s="7"/>
      <c r="O878" s="7"/>
      <c r="P878" s="8">
        <f t="shared" si="68"/>
        <v>0</v>
      </c>
      <c r="Q878" s="8">
        <f t="shared" si="69"/>
        <v>0</v>
      </c>
      <c r="R878" s="8">
        <f t="shared" si="70"/>
        <v>0</v>
      </c>
    </row>
    <row r="879" spans="1:18">
      <c r="A879" s="6"/>
      <c r="B879" t="str">
        <f t="shared" si="66"/>
        <v/>
      </c>
      <c r="C879" t="str">
        <f t="shared" si="67"/>
        <v/>
      </c>
      <c r="E879" t="str">
        <f>IFERROR(VLOOKUP(D879,Cadastro!$B$4:$H$100,2,FALSE),"")</f>
        <v/>
      </c>
      <c r="F879" t="str">
        <f>IFERROR(VLOOKUP(D879,Cadastro!$B$4:$H$100,3,FALSE),"")</f>
        <v/>
      </c>
      <c r="J879" s="7"/>
      <c r="K879" s="7"/>
      <c r="L879" s="7"/>
      <c r="M879" s="7"/>
      <c r="N879" s="7"/>
      <c r="O879" s="7"/>
      <c r="P879" s="8">
        <f t="shared" si="68"/>
        <v>0</v>
      </c>
      <c r="Q879" s="8">
        <f t="shared" si="69"/>
        <v>0</v>
      </c>
      <c r="R879" s="8">
        <f t="shared" si="70"/>
        <v>0</v>
      </c>
    </row>
    <row r="880" spans="1:18">
      <c r="A880" s="6"/>
      <c r="B880" t="str">
        <f t="shared" si="66"/>
        <v/>
      </c>
      <c r="C880" t="str">
        <f t="shared" si="67"/>
        <v/>
      </c>
      <c r="E880" t="str">
        <f>IFERROR(VLOOKUP(D880,Cadastro!$B$4:$H$100,2,FALSE),"")</f>
        <v/>
      </c>
      <c r="F880" t="str">
        <f>IFERROR(VLOOKUP(D880,Cadastro!$B$4:$H$100,3,FALSE),"")</f>
        <v/>
      </c>
      <c r="J880" s="7"/>
      <c r="K880" s="7"/>
      <c r="L880" s="7"/>
      <c r="M880" s="7"/>
      <c r="N880" s="7"/>
      <c r="O880" s="7"/>
      <c r="P880" s="8">
        <f t="shared" si="68"/>
        <v>0</v>
      </c>
      <c r="Q880" s="8">
        <f t="shared" si="69"/>
        <v>0</v>
      </c>
      <c r="R880" s="8">
        <f t="shared" si="70"/>
        <v>0</v>
      </c>
    </row>
    <row r="881" spans="1:18">
      <c r="A881" s="6"/>
      <c r="B881" t="str">
        <f t="shared" si="66"/>
        <v/>
      </c>
      <c r="C881" t="str">
        <f t="shared" si="67"/>
        <v/>
      </c>
      <c r="E881" t="str">
        <f>IFERROR(VLOOKUP(D881,Cadastro!$B$4:$H$100,2,FALSE),"")</f>
        <v/>
      </c>
      <c r="F881" t="str">
        <f>IFERROR(VLOOKUP(D881,Cadastro!$B$4:$H$100,3,FALSE),"")</f>
        <v/>
      </c>
      <c r="J881" s="7"/>
      <c r="K881" s="7"/>
      <c r="L881" s="7"/>
      <c r="M881" s="7"/>
      <c r="N881" s="7"/>
      <c r="O881" s="7"/>
      <c r="P881" s="8">
        <f t="shared" si="68"/>
        <v>0</v>
      </c>
      <c r="Q881" s="8">
        <f t="shared" si="69"/>
        <v>0</v>
      </c>
      <c r="R881" s="8">
        <f t="shared" si="70"/>
        <v>0</v>
      </c>
    </row>
    <row r="882" spans="1:18">
      <c r="A882" s="6"/>
      <c r="B882" t="str">
        <f t="shared" si="66"/>
        <v/>
      </c>
      <c r="C882" t="str">
        <f t="shared" si="67"/>
        <v/>
      </c>
      <c r="E882" t="str">
        <f>IFERROR(VLOOKUP(D882,Cadastro!$B$4:$H$100,2,FALSE),"")</f>
        <v/>
      </c>
      <c r="F882" t="str">
        <f>IFERROR(VLOOKUP(D882,Cadastro!$B$4:$H$100,3,FALSE),"")</f>
        <v/>
      </c>
      <c r="J882" s="7"/>
      <c r="K882" s="7"/>
      <c r="L882" s="7"/>
      <c r="M882" s="7"/>
      <c r="N882" s="7"/>
      <c r="O882" s="7"/>
      <c r="P882" s="8">
        <f t="shared" si="68"/>
        <v>0</v>
      </c>
      <c r="Q882" s="8">
        <f t="shared" si="69"/>
        <v>0</v>
      </c>
      <c r="R882" s="8">
        <f t="shared" si="70"/>
        <v>0</v>
      </c>
    </row>
    <row r="883" spans="1:18">
      <c r="A883" s="6"/>
      <c r="B883" t="str">
        <f t="shared" si="66"/>
        <v/>
      </c>
      <c r="C883" t="str">
        <f t="shared" si="67"/>
        <v/>
      </c>
      <c r="E883" t="str">
        <f>IFERROR(VLOOKUP(D883,Cadastro!$B$4:$H$100,2,FALSE),"")</f>
        <v/>
      </c>
      <c r="F883" t="str">
        <f>IFERROR(VLOOKUP(D883,Cadastro!$B$4:$H$100,3,FALSE),"")</f>
        <v/>
      </c>
      <c r="J883" s="7"/>
      <c r="K883" s="7"/>
      <c r="L883" s="7"/>
      <c r="M883" s="7"/>
      <c r="N883" s="7"/>
      <c r="O883" s="7"/>
      <c r="P883" s="8">
        <f t="shared" si="68"/>
        <v>0</v>
      </c>
      <c r="Q883" s="8">
        <f t="shared" si="69"/>
        <v>0</v>
      </c>
      <c r="R883" s="8">
        <f t="shared" si="70"/>
        <v>0</v>
      </c>
    </row>
    <row r="884" spans="1:18">
      <c r="A884" s="6"/>
      <c r="B884" t="str">
        <f t="shared" si="66"/>
        <v/>
      </c>
      <c r="C884" t="str">
        <f t="shared" si="67"/>
        <v/>
      </c>
      <c r="E884" t="str">
        <f>IFERROR(VLOOKUP(D884,Cadastro!$B$4:$H$100,2,FALSE),"")</f>
        <v/>
      </c>
      <c r="F884" t="str">
        <f>IFERROR(VLOOKUP(D884,Cadastro!$B$4:$H$100,3,FALSE),"")</f>
        <v/>
      </c>
      <c r="J884" s="7"/>
      <c r="K884" s="7"/>
      <c r="L884" s="7"/>
      <c r="M884" s="7"/>
      <c r="N884" s="7"/>
      <c r="O884" s="7"/>
      <c r="P884" s="8">
        <f t="shared" si="68"/>
        <v>0</v>
      </c>
      <c r="Q884" s="8">
        <f t="shared" si="69"/>
        <v>0</v>
      </c>
      <c r="R884" s="8">
        <f t="shared" si="70"/>
        <v>0</v>
      </c>
    </row>
    <row r="885" spans="1:18">
      <c r="A885" s="6"/>
      <c r="B885" t="str">
        <f t="shared" si="66"/>
        <v/>
      </c>
      <c r="C885" t="str">
        <f t="shared" si="67"/>
        <v/>
      </c>
      <c r="E885" t="str">
        <f>IFERROR(VLOOKUP(D885,Cadastro!$B$4:$H$100,2,FALSE),"")</f>
        <v/>
      </c>
      <c r="F885" t="str">
        <f>IFERROR(VLOOKUP(D885,Cadastro!$B$4:$H$100,3,FALSE),"")</f>
        <v/>
      </c>
      <c r="J885" s="7"/>
      <c r="K885" s="7"/>
      <c r="L885" s="7"/>
      <c r="M885" s="7"/>
      <c r="N885" s="7"/>
      <c r="O885" s="7"/>
      <c r="P885" s="8">
        <f t="shared" si="68"/>
        <v>0</v>
      </c>
      <c r="Q885" s="8">
        <f t="shared" si="69"/>
        <v>0</v>
      </c>
      <c r="R885" s="8">
        <f t="shared" si="70"/>
        <v>0</v>
      </c>
    </row>
    <row r="886" spans="1:18">
      <c r="A886" s="6"/>
      <c r="B886" t="str">
        <f t="shared" si="66"/>
        <v/>
      </c>
      <c r="C886" t="str">
        <f t="shared" si="67"/>
        <v/>
      </c>
      <c r="E886" t="str">
        <f>IFERROR(VLOOKUP(D886,Cadastro!$B$4:$H$100,2,FALSE),"")</f>
        <v/>
      </c>
      <c r="F886" t="str">
        <f>IFERROR(VLOOKUP(D886,Cadastro!$B$4:$H$100,3,FALSE),"")</f>
        <v/>
      </c>
      <c r="J886" s="7"/>
      <c r="K886" s="7"/>
      <c r="L886" s="7"/>
      <c r="M886" s="7"/>
      <c r="N886" s="7"/>
      <c r="O886" s="7"/>
      <c r="P886" s="8">
        <f t="shared" si="68"/>
        <v>0</v>
      </c>
      <c r="Q886" s="8">
        <f t="shared" si="69"/>
        <v>0</v>
      </c>
      <c r="R886" s="8">
        <f t="shared" si="70"/>
        <v>0</v>
      </c>
    </row>
    <row r="887" spans="1:18">
      <c r="A887" s="6"/>
      <c r="B887" t="str">
        <f t="shared" si="66"/>
        <v/>
      </c>
      <c r="C887" t="str">
        <f t="shared" si="67"/>
        <v/>
      </c>
      <c r="E887" t="str">
        <f>IFERROR(VLOOKUP(D887,Cadastro!$B$4:$H$100,2,FALSE),"")</f>
        <v/>
      </c>
      <c r="F887" t="str">
        <f>IFERROR(VLOOKUP(D887,Cadastro!$B$4:$H$100,3,FALSE),"")</f>
        <v/>
      </c>
      <c r="J887" s="7"/>
      <c r="K887" s="7"/>
      <c r="L887" s="7"/>
      <c r="M887" s="7"/>
      <c r="N887" s="7"/>
      <c r="O887" s="7"/>
      <c r="P887" s="8">
        <f t="shared" si="68"/>
        <v>0</v>
      </c>
      <c r="Q887" s="8">
        <f t="shared" si="69"/>
        <v>0</v>
      </c>
      <c r="R887" s="8">
        <f t="shared" si="70"/>
        <v>0</v>
      </c>
    </row>
    <row r="888" spans="1:18">
      <c r="A888" s="6"/>
      <c r="B888" t="str">
        <f t="shared" si="66"/>
        <v/>
      </c>
      <c r="C888" t="str">
        <f t="shared" si="67"/>
        <v/>
      </c>
      <c r="E888" t="str">
        <f>IFERROR(VLOOKUP(D888,Cadastro!$B$4:$H$100,2,FALSE),"")</f>
        <v/>
      </c>
      <c r="F888" t="str">
        <f>IFERROR(VLOOKUP(D888,Cadastro!$B$4:$H$100,3,FALSE),"")</f>
        <v/>
      </c>
      <c r="J888" s="7"/>
      <c r="K888" s="7"/>
      <c r="L888" s="7"/>
      <c r="M888" s="7"/>
      <c r="N888" s="7"/>
      <c r="O888" s="7"/>
      <c r="P888" s="8">
        <f t="shared" si="68"/>
        <v>0</v>
      </c>
      <c r="Q888" s="8">
        <f t="shared" si="69"/>
        <v>0</v>
      </c>
      <c r="R888" s="8">
        <f t="shared" si="70"/>
        <v>0</v>
      </c>
    </row>
    <row r="889" spans="1:18">
      <c r="A889" s="6"/>
      <c r="B889" t="str">
        <f t="shared" si="66"/>
        <v/>
      </c>
      <c r="C889" t="str">
        <f t="shared" si="67"/>
        <v/>
      </c>
      <c r="E889" t="str">
        <f>IFERROR(VLOOKUP(D889,Cadastro!$B$4:$H$100,2,FALSE),"")</f>
        <v/>
      </c>
      <c r="F889" t="str">
        <f>IFERROR(VLOOKUP(D889,Cadastro!$B$4:$H$100,3,FALSE),"")</f>
        <v/>
      </c>
      <c r="J889" s="7"/>
      <c r="K889" s="7"/>
      <c r="L889" s="7"/>
      <c r="M889" s="7"/>
      <c r="N889" s="7"/>
      <c r="O889" s="7"/>
      <c r="P889" s="8">
        <f t="shared" si="68"/>
        <v>0</v>
      </c>
      <c r="Q889" s="8">
        <f t="shared" si="69"/>
        <v>0</v>
      </c>
      <c r="R889" s="8">
        <f t="shared" si="70"/>
        <v>0</v>
      </c>
    </row>
    <row r="890" spans="1:18">
      <c r="A890" s="6"/>
      <c r="B890" t="str">
        <f t="shared" si="66"/>
        <v/>
      </c>
      <c r="C890" t="str">
        <f t="shared" si="67"/>
        <v/>
      </c>
      <c r="E890" t="str">
        <f>IFERROR(VLOOKUP(D890,Cadastro!$B$4:$H$100,2,FALSE),"")</f>
        <v/>
      </c>
      <c r="F890" t="str">
        <f>IFERROR(VLOOKUP(D890,Cadastro!$B$4:$H$100,3,FALSE),"")</f>
        <v/>
      </c>
      <c r="J890" s="7"/>
      <c r="K890" s="7"/>
      <c r="L890" s="7"/>
      <c r="M890" s="7"/>
      <c r="N890" s="7"/>
      <c r="O890" s="7"/>
      <c r="P890" s="8">
        <f t="shared" si="68"/>
        <v>0</v>
      </c>
      <c r="Q890" s="8">
        <f t="shared" si="69"/>
        <v>0</v>
      </c>
      <c r="R890" s="8">
        <f t="shared" si="70"/>
        <v>0</v>
      </c>
    </row>
    <row r="891" spans="1:18">
      <c r="A891" s="6"/>
      <c r="B891" t="str">
        <f t="shared" si="66"/>
        <v/>
      </c>
      <c r="C891" t="str">
        <f t="shared" si="67"/>
        <v/>
      </c>
      <c r="E891" t="str">
        <f>IFERROR(VLOOKUP(D891,Cadastro!$B$4:$H$100,2,FALSE),"")</f>
        <v/>
      </c>
      <c r="F891" t="str">
        <f>IFERROR(VLOOKUP(D891,Cadastro!$B$4:$H$100,3,FALSE),"")</f>
        <v/>
      </c>
      <c r="J891" s="7"/>
      <c r="K891" s="7"/>
      <c r="L891" s="7"/>
      <c r="M891" s="7"/>
      <c r="N891" s="7"/>
      <c r="O891" s="7"/>
      <c r="P891" s="8">
        <f t="shared" si="68"/>
        <v>0</v>
      </c>
      <c r="Q891" s="8">
        <f t="shared" si="69"/>
        <v>0</v>
      </c>
      <c r="R891" s="8">
        <f t="shared" si="70"/>
        <v>0</v>
      </c>
    </row>
    <row r="892" spans="1:18">
      <c r="A892" s="6"/>
      <c r="B892" t="str">
        <f t="shared" si="66"/>
        <v/>
      </c>
      <c r="C892" t="str">
        <f t="shared" si="67"/>
        <v/>
      </c>
      <c r="E892" t="str">
        <f>IFERROR(VLOOKUP(D892,Cadastro!$B$4:$H$100,2,FALSE),"")</f>
        <v/>
      </c>
      <c r="F892" t="str">
        <f>IFERROR(VLOOKUP(D892,Cadastro!$B$4:$H$100,3,FALSE),"")</f>
        <v/>
      </c>
      <c r="J892" s="7"/>
      <c r="K892" s="7"/>
      <c r="L892" s="7"/>
      <c r="M892" s="7"/>
      <c r="N892" s="7"/>
      <c r="O892" s="7"/>
      <c r="P892" s="8">
        <f t="shared" si="68"/>
        <v>0</v>
      </c>
      <c r="Q892" s="8">
        <f t="shared" si="69"/>
        <v>0</v>
      </c>
      <c r="R892" s="8">
        <f t="shared" si="70"/>
        <v>0</v>
      </c>
    </row>
    <row r="893" spans="1:18">
      <c r="A893" s="6"/>
      <c r="B893" t="str">
        <f t="shared" si="66"/>
        <v/>
      </c>
      <c r="C893" t="str">
        <f t="shared" si="67"/>
        <v/>
      </c>
      <c r="E893" t="str">
        <f>IFERROR(VLOOKUP(D893,Cadastro!$B$4:$H$100,2,FALSE),"")</f>
        <v/>
      </c>
      <c r="F893" t="str">
        <f>IFERROR(VLOOKUP(D893,Cadastro!$B$4:$H$100,3,FALSE),"")</f>
        <v/>
      </c>
      <c r="J893" s="7"/>
      <c r="K893" s="7"/>
      <c r="L893" s="7"/>
      <c r="M893" s="7"/>
      <c r="N893" s="7"/>
      <c r="O893" s="7"/>
      <c r="P893" s="8">
        <f t="shared" si="68"/>
        <v>0</v>
      </c>
      <c r="Q893" s="8">
        <f t="shared" si="69"/>
        <v>0</v>
      </c>
      <c r="R893" s="8">
        <f t="shared" si="70"/>
        <v>0</v>
      </c>
    </row>
    <row r="894" spans="1:18">
      <c r="A894" s="6"/>
      <c r="B894" t="str">
        <f t="shared" si="66"/>
        <v/>
      </c>
      <c r="C894" t="str">
        <f t="shared" si="67"/>
        <v/>
      </c>
      <c r="E894" t="str">
        <f>IFERROR(VLOOKUP(D894,Cadastro!$B$4:$H$100,2,FALSE),"")</f>
        <v/>
      </c>
      <c r="F894" t="str">
        <f>IFERROR(VLOOKUP(D894,Cadastro!$B$4:$H$100,3,FALSE),"")</f>
        <v/>
      </c>
      <c r="J894" s="7"/>
      <c r="K894" s="7"/>
      <c r="L894" s="7"/>
      <c r="M894" s="7"/>
      <c r="N894" s="7"/>
      <c r="O894" s="7"/>
      <c r="P894" s="8">
        <f t="shared" si="68"/>
        <v>0</v>
      </c>
      <c r="Q894" s="8">
        <f t="shared" si="69"/>
        <v>0</v>
      </c>
      <c r="R894" s="8">
        <f t="shared" si="70"/>
        <v>0</v>
      </c>
    </row>
    <row r="895" spans="1:18">
      <c r="A895" s="6"/>
      <c r="B895" t="str">
        <f t="shared" si="66"/>
        <v/>
      </c>
      <c r="C895" t="str">
        <f t="shared" si="67"/>
        <v/>
      </c>
      <c r="E895" t="str">
        <f>IFERROR(VLOOKUP(D895,Cadastro!$B$4:$H$100,2,FALSE),"")</f>
        <v/>
      </c>
      <c r="F895" t="str">
        <f>IFERROR(VLOOKUP(D895,Cadastro!$B$4:$H$100,3,FALSE),"")</f>
        <v/>
      </c>
      <c r="J895" s="7"/>
      <c r="K895" s="7"/>
      <c r="L895" s="7"/>
      <c r="M895" s="7"/>
      <c r="N895" s="7"/>
      <c r="O895" s="7"/>
      <c r="P895" s="8">
        <f t="shared" si="68"/>
        <v>0</v>
      </c>
      <c r="Q895" s="8">
        <f t="shared" si="69"/>
        <v>0</v>
      </c>
      <c r="R895" s="8">
        <f t="shared" si="70"/>
        <v>0</v>
      </c>
    </row>
    <row r="896" spans="1:18">
      <c r="A896" s="6"/>
      <c r="B896" t="str">
        <f t="shared" si="66"/>
        <v/>
      </c>
      <c r="C896" t="str">
        <f t="shared" si="67"/>
        <v/>
      </c>
      <c r="E896" t="str">
        <f>IFERROR(VLOOKUP(D896,Cadastro!$B$4:$H$100,2,FALSE),"")</f>
        <v/>
      </c>
      <c r="F896" t="str">
        <f>IFERROR(VLOOKUP(D896,Cadastro!$B$4:$H$100,3,FALSE),"")</f>
        <v/>
      </c>
      <c r="J896" s="7"/>
      <c r="K896" s="7"/>
      <c r="L896" s="7"/>
      <c r="M896" s="7"/>
      <c r="N896" s="7"/>
      <c r="O896" s="7"/>
      <c r="P896" s="8">
        <f t="shared" si="68"/>
        <v>0</v>
      </c>
      <c r="Q896" s="8">
        <f t="shared" si="69"/>
        <v>0</v>
      </c>
      <c r="R896" s="8">
        <f t="shared" si="70"/>
        <v>0</v>
      </c>
    </row>
    <row r="897" spans="1:18">
      <c r="A897" s="6"/>
      <c r="B897" t="str">
        <f t="shared" si="66"/>
        <v/>
      </c>
      <c r="C897" t="str">
        <f t="shared" si="67"/>
        <v/>
      </c>
      <c r="E897" t="str">
        <f>IFERROR(VLOOKUP(D897,Cadastro!$B$4:$H$100,2,FALSE),"")</f>
        <v/>
      </c>
      <c r="F897" t="str">
        <f>IFERROR(VLOOKUP(D897,Cadastro!$B$4:$H$100,3,FALSE),"")</f>
        <v/>
      </c>
      <c r="J897" s="7"/>
      <c r="K897" s="7"/>
      <c r="L897" s="7"/>
      <c r="M897" s="7"/>
      <c r="N897" s="7"/>
      <c r="O897" s="7"/>
      <c r="P897" s="8">
        <f t="shared" si="68"/>
        <v>0</v>
      </c>
      <c r="Q897" s="8">
        <f t="shared" si="69"/>
        <v>0</v>
      </c>
      <c r="R897" s="8">
        <f t="shared" si="70"/>
        <v>0</v>
      </c>
    </row>
    <row r="898" spans="1:18">
      <c r="A898" s="6"/>
      <c r="B898" t="str">
        <f t="shared" si="66"/>
        <v/>
      </c>
      <c r="C898" t="str">
        <f t="shared" si="67"/>
        <v/>
      </c>
      <c r="E898" t="str">
        <f>IFERROR(VLOOKUP(D898,Cadastro!$B$4:$H$100,2,FALSE),"")</f>
        <v/>
      </c>
      <c r="F898" t="str">
        <f>IFERROR(VLOOKUP(D898,Cadastro!$B$4:$H$100,3,FALSE),"")</f>
        <v/>
      </c>
      <c r="J898" s="7"/>
      <c r="K898" s="7"/>
      <c r="L898" s="7"/>
      <c r="M898" s="7"/>
      <c r="N898" s="7"/>
      <c r="O898" s="7"/>
      <c r="P898" s="8">
        <f t="shared" si="68"/>
        <v>0</v>
      </c>
      <c r="Q898" s="8">
        <f t="shared" si="69"/>
        <v>0</v>
      </c>
      <c r="R898" s="8">
        <f t="shared" si="70"/>
        <v>0</v>
      </c>
    </row>
    <row r="899" spans="1:18">
      <c r="A899" s="6"/>
      <c r="B899" t="str">
        <f t="shared" si="66"/>
        <v/>
      </c>
      <c r="C899" t="str">
        <f t="shared" si="67"/>
        <v/>
      </c>
      <c r="E899" t="str">
        <f>IFERROR(VLOOKUP(D899,Cadastro!$B$4:$H$100,2,FALSE),"")</f>
        <v/>
      </c>
      <c r="F899" t="str">
        <f>IFERROR(VLOOKUP(D899,Cadastro!$B$4:$H$100,3,FALSE),"")</f>
        <v/>
      </c>
      <c r="J899" s="7"/>
      <c r="K899" s="7"/>
      <c r="L899" s="7"/>
      <c r="M899" s="7"/>
      <c r="N899" s="7"/>
      <c r="O899" s="7"/>
      <c r="P899" s="8">
        <f t="shared" si="68"/>
        <v>0</v>
      </c>
      <c r="Q899" s="8">
        <f t="shared" si="69"/>
        <v>0</v>
      </c>
      <c r="R899" s="8">
        <f t="shared" si="70"/>
        <v>0</v>
      </c>
    </row>
    <row r="900" spans="1:18">
      <c r="A900" s="6"/>
      <c r="B900" t="str">
        <f t="shared" ref="B900:B963" si="71">IF(A900="","",YEAR(A900))</f>
        <v/>
      </c>
      <c r="C900" t="str">
        <f t="shared" ref="C900:C963" si="72">IF(A900="","",TEXT(A900,"mmmm"))</f>
        <v/>
      </c>
      <c r="E900" t="str">
        <f>IFERROR(VLOOKUP(D900,Cadastro!$B$4:$H$100,2,FALSE),"")</f>
        <v/>
      </c>
      <c r="F900" t="str">
        <f>IFERROR(VLOOKUP(D900,Cadastro!$B$4:$H$100,3,FALSE),"")</f>
        <v/>
      </c>
      <c r="J900" s="7"/>
      <c r="K900" s="7"/>
      <c r="L900" s="7"/>
      <c r="M900" s="7"/>
      <c r="N900" s="7"/>
      <c r="O900" s="7"/>
      <c r="P900" s="8">
        <f t="shared" ref="P900:P963" si="73">IF(OR(J900="",K900=""),0,(K900-J900)*24)+IF(OR(L900="",M900=""),0,(M900-L900)*24)+IF(OR(N900="",O900=""),0,(O900-N900)*24)</f>
        <v>0</v>
      </c>
      <c r="Q900" s="8">
        <f t="shared" ref="Q900:Q963" si="74">IF(OR(I900="Prática",I900="Teórico-prática"),P900,0)</f>
        <v>0</v>
      </c>
      <c r="R900" s="8">
        <f t="shared" ref="R900:R963" si="75">IF(OR(I900="Teórica",I900="Teórico-prática"),P900,0)</f>
        <v>0</v>
      </c>
    </row>
    <row r="901" spans="1:18">
      <c r="A901" s="6"/>
      <c r="B901" t="str">
        <f t="shared" si="71"/>
        <v/>
      </c>
      <c r="C901" t="str">
        <f t="shared" si="72"/>
        <v/>
      </c>
      <c r="E901" t="str">
        <f>IFERROR(VLOOKUP(D901,Cadastro!$B$4:$H$100,2,FALSE),"")</f>
        <v/>
      </c>
      <c r="F901" t="str">
        <f>IFERROR(VLOOKUP(D901,Cadastro!$B$4:$H$100,3,FALSE),"")</f>
        <v/>
      </c>
      <c r="J901" s="7"/>
      <c r="K901" s="7"/>
      <c r="L901" s="7"/>
      <c r="M901" s="7"/>
      <c r="N901" s="7"/>
      <c r="O901" s="7"/>
      <c r="P901" s="8">
        <f t="shared" si="73"/>
        <v>0</v>
      </c>
      <c r="Q901" s="8">
        <f t="shared" si="74"/>
        <v>0</v>
      </c>
      <c r="R901" s="8">
        <f t="shared" si="75"/>
        <v>0</v>
      </c>
    </row>
    <row r="902" spans="1:18">
      <c r="A902" s="6"/>
      <c r="B902" t="str">
        <f t="shared" si="71"/>
        <v/>
      </c>
      <c r="C902" t="str">
        <f t="shared" si="72"/>
        <v/>
      </c>
      <c r="E902" t="str">
        <f>IFERROR(VLOOKUP(D902,Cadastro!$B$4:$H$100,2,FALSE),"")</f>
        <v/>
      </c>
      <c r="F902" t="str">
        <f>IFERROR(VLOOKUP(D902,Cadastro!$B$4:$H$100,3,FALSE),"")</f>
        <v/>
      </c>
      <c r="J902" s="7"/>
      <c r="K902" s="7"/>
      <c r="L902" s="7"/>
      <c r="M902" s="7"/>
      <c r="N902" s="7"/>
      <c r="O902" s="7"/>
      <c r="P902" s="8">
        <f t="shared" si="73"/>
        <v>0</v>
      </c>
      <c r="Q902" s="8">
        <f t="shared" si="74"/>
        <v>0</v>
      </c>
      <c r="R902" s="8">
        <f t="shared" si="75"/>
        <v>0</v>
      </c>
    </row>
    <row r="903" spans="1:18">
      <c r="A903" s="6"/>
      <c r="B903" t="str">
        <f t="shared" si="71"/>
        <v/>
      </c>
      <c r="C903" t="str">
        <f t="shared" si="72"/>
        <v/>
      </c>
      <c r="E903" t="str">
        <f>IFERROR(VLOOKUP(D903,Cadastro!$B$4:$H$100,2,FALSE),"")</f>
        <v/>
      </c>
      <c r="F903" t="str">
        <f>IFERROR(VLOOKUP(D903,Cadastro!$B$4:$H$100,3,FALSE),"")</f>
        <v/>
      </c>
      <c r="J903" s="7"/>
      <c r="K903" s="7"/>
      <c r="L903" s="7"/>
      <c r="M903" s="7"/>
      <c r="N903" s="7"/>
      <c r="O903" s="7"/>
      <c r="P903" s="8">
        <f t="shared" si="73"/>
        <v>0</v>
      </c>
      <c r="Q903" s="8">
        <f t="shared" si="74"/>
        <v>0</v>
      </c>
      <c r="R903" s="8">
        <f t="shared" si="75"/>
        <v>0</v>
      </c>
    </row>
    <row r="904" spans="1:18">
      <c r="A904" s="6"/>
      <c r="B904" t="str">
        <f t="shared" si="71"/>
        <v/>
      </c>
      <c r="C904" t="str">
        <f t="shared" si="72"/>
        <v/>
      </c>
      <c r="E904" t="str">
        <f>IFERROR(VLOOKUP(D904,Cadastro!$B$4:$H$100,2,FALSE),"")</f>
        <v/>
      </c>
      <c r="F904" t="str">
        <f>IFERROR(VLOOKUP(D904,Cadastro!$B$4:$H$100,3,FALSE),"")</f>
        <v/>
      </c>
      <c r="J904" s="7"/>
      <c r="K904" s="7"/>
      <c r="L904" s="7"/>
      <c r="M904" s="7"/>
      <c r="N904" s="7"/>
      <c r="O904" s="7"/>
      <c r="P904" s="8">
        <f t="shared" si="73"/>
        <v>0</v>
      </c>
      <c r="Q904" s="8">
        <f t="shared" si="74"/>
        <v>0</v>
      </c>
      <c r="R904" s="8">
        <f t="shared" si="75"/>
        <v>0</v>
      </c>
    </row>
    <row r="905" spans="1:18">
      <c r="A905" s="6"/>
      <c r="B905" t="str">
        <f t="shared" si="71"/>
        <v/>
      </c>
      <c r="C905" t="str">
        <f t="shared" si="72"/>
        <v/>
      </c>
      <c r="E905" t="str">
        <f>IFERROR(VLOOKUP(D905,Cadastro!$B$4:$H$100,2,FALSE),"")</f>
        <v/>
      </c>
      <c r="F905" t="str">
        <f>IFERROR(VLOOKUP(D905,Cadastro!$B$4:$H$100,3,FALSE),"")</f>
        <v/>
      </c>
      <c r="J905" s="7"/>
      <c r="K905" s="7"/>
      <c r="L905" s="7"/>
      <c r="M905" s="7"/>
      <c r="N905" s="7"/>
      <c r="O905" s="7"/>
      <c r="P905" s="8">
        <f t="shared" si="73"/>
        <v>0</v>
      </c>
      <c r="Q905" s="8">
        <f t="shared" si="74"/>
        <v>0</v>
      </c>
      <c r="R905" s="8">
        <f t="shared" si="75"/>
        <v>0</v>
      </c>
    </row>
    <row r="906" spans="1:18">
      <c r="A906" s="6"/>
      <c r="B906" t="str">
        <f t="shared" si="71"/>
        <v/>
      </c>
      <c r="C906" t="str">
        <f t="shared" si="72"/>
        <v/>
      </c>
      <c r="E906" t="str">
        <f>IFERROR(VLOOKUP(D906,Cadastro!$B$4:$H$100,2,FALSE),"")</f>
        <v/>
      </c>
      <c r="F906" t="str">
        <f>IFERROR(VLOOKUP(D906,Cadastro!$B$4:$H$100,3,FALSE),"")</f>
        <v/>
      </c>
      <c r="J906" s="7"/>
      <c r="K906" s="7"/>
      <c r="L906" s="7"/>
      <c r="M906" s="7"/>
      <c r="N906" s="7"/>
      <c r="O906" s="7"/>
      <c r="P906" s="8">
        <f t="shared" si="73"/>
        <v>0</v>
      </c>
      <c r="Q906" s="8">
        <f t="shared" si="74"/>
        <v>0</v>
      </c>
      <c r="R906" s="8">
        <f t="shared" si="75"/>
        <v>0</v>
      </c>
    </row>
    <row r="907" spans="1:18">
      <c r="A907" s="6"/>
      <c r="B907" t="str">
        <f t="shared" si="71"/>
        <v/>
      </c>
      <c r="C907" t="str">
        <f t="shared" si="72"/>
        <v/>
      </c>
      <c r="E907" t="str">
        <f>IFERROR(VLOOKUP(D907,Cadastro!$B$4:$H$100,2,FALSE),"")</f>
        <v/>
      </c>
      <c r="F907" t="str">
        <f>IFERROR(VLOOKUP(D907,Cadastro!$B$4:$H$100,3,FALSE),"")</f>
        <v/>
      </c>
      <c r="J907" s="7"/>
      <c r="K907" s="7"/>
      <c r="L907" s="7"/>
      <c r="M907" s="7"/>
      <c r="N907" s="7"/>
      <c r="O907" s="7"/>
      <c r="P907" s="8">
        <f t="shared" si="73"/>
        <v>0</v>
      </c>
      <c r="Q907" s="8">
        <f t="shared" si="74"/>
        <v>0</v>
      </c>
      <c r="R907" s="8">
        <f t="shared" si="75"/>
        <v>0</v>
      </c>
    </row>
    <row r="908" spans="1:18">
      <c r="A908" s="6"/>
      <c r="B908" t="str">
        <f t="shared" si="71"/>
        <v/>
      </c>
      <c r="C908" t="str">
        <f t="shared" si="72"/>
        <v/>
      </c>
      <c r="E908" t="str">
        <f>IFERROR(VLOOKUP(D908,Cadastro!$B$4:$H$100,2,FALSE),"")</f>
        <v/>
      </c>
      <c r="F908" t="str">
        <f>IFERROR(VLOOKUP(D908,Cadastro!$B$4:$H$100,3,FALSE),"")</f>
        <v/>
      </c>
      <c r="J908" s="7"/>
      <c r="K908" s="7"/>
      <c r="L908" s="7"/>
      <c r="M908" s="7"/>
      <c r="N908" s="7"/>
      <c r="O908" s="7"/>
      <c r="P908" s="8">
        <f t="shared" si="73"/>
        <v>0</v>
      </c>
      <c r="Q908" s="8">
        <f t="shared" si="74"/>
        <v>0</v>
      </c>
      <c r="R908" s="8">
        <f t="shared" si="75"/>
        <v>0</v>
      </c>
    </row>
    <row r="909" spans="1:18">
      <c r="A909" s="6"/>
      <c r="B909" t="str">
        <f t="shared" si="71"/>
        <v/>
      </c>
      <c r="C909" t="str">
        <f t="shared" si="72"/>
        <v/>
      </c>
      <c r="E909" t="str">
        <f>IFERROR(VLOOKUP(D909,Cadastro!$B$4:$H$100,2,FALSE),"")</f>
        <v/>
      </c>
      <c r="F909" t="str">
        <f>IFERROR(VLOOKUP(D909,Cadastro!$B$4:$H$100,3,FALSE),"")</f>
        <v/>
      </c>
      <c r="J909" s="7"/>
      <c r="K909" s="7"/>
      <c r="L909" s="7"/>
      <c r="M909" s="7"/>
      <c r="N909" s="7"/>
      <c r="O909" s="7"/>
      <c r="P909" s="8">
        <f t="shared" si="73"/>
        <v>0</v>
      </c>
      <c r="Q909" s="8">
        <f t="shared" si="74"/>
        <v>0</v>
      </c>
      <c r="R909" s="8">
        <f t="shared" si="75"/>
        <v>0</v>
      </c>
    </row>
    <row r="910" spans="1:18">
      <c r="A910" s="6"/>
      <c r="B910" t="str">
        <f t="shared" si="71"/>
        <v/>
      </c>
      <c r="C910" t="str">
        <f t="shared" si="72"/>
        <v/>
      </c>
      <c r="E910" t="str">
        <f>IFERROR(VLOOKUP(D910,Cadastro!$B$4:$H$100,2,FALSE),"")</f>
        <v/>
      </c>
      <c r="F910" t="str">
        <f>IFERROR(VLOOKUP(D910,Cadastro!$B$4:$H$100,3,FALSE),"")</f>
        <v/>
      </c>
      <c r="J910" s="7"/>
      <c r="K910" s="7"/>
      <c r="L910" s="7"/>
      <c r="M910" s="7"/>
      <c r="N910" s="7"/>
      <c r="O910" s="7"/>
      <c r="P910" s="8">
        <f t="shared" si="73"/>
        <v>0</v>
      </c>
      <c r="Q910" s="8">
        <f t="shared" si="74"/>
        <v>0</v>
      </c>
      <c r="R910" s="8">
        <f t="shared" si="75"/>
        <v>0</v>
      </c>
    </row>
    <row r="911" spans="1:18">
      <c r="A911" s="6"/>
      <c r="B911" t="str">
        <f t="shared" si="71"/>
        <v/>
      </c>
      <c r="C911" t="str">
        <f t="shared" si="72"/>
        <v/>
      </c>
      <c r="E911" t="str">
        <f>IFERROR(VLOOKUP(D911,Cadastro!$B$4:$H$100,2,FALSE),"")</f>
        <v/>
      </c>
      <c r="F911" t="str">
        <f>IFERROR(VLOOKUP(D911,Cadastro!$B$4:$H$100,3,FALSE),"")</f>
        <v/>
      </c>
      <c r="J911" s="7"/>
      <c r="K911" s="7"/>
      <c r="L911" s="7"/>
      <c r="M911" s="7"/>
      <c r="N911" s="7"/>
      <c r="O911" s="7"/>
      <c r="P911" s="8">
        <f t="shared" si="73"/>
        <v>0</v>
      </c>
      <c r="Q911" s="8">
        <f t="shared" si="74"/>
        <v>0</v>
      </c>
      <c r="R911" s="8">
        <f t="shared" si="75"/>
        <v>0</v>
      </c>
    </row>
    <row r="912" spans="1:18">
      <c r="A912" s="6"/>
      <c r="B912" t="str">
        <f t="shared" si="71"/>
        <v/>
      </c>
      <c r="C912" t="str">
        <f t="shared" si="72"/>
        <v/>
      </c>
      <c r="E912" t="str">
        <f>IFERROR(VLOOKUP(D912,Cadastro!$B$4:$H$100,2,FALSE),"")</f>
        <v/>
      </c>
      <c r="F912" t="str">
        <f>IFERROR(VLOOKUP(D912,Cadastro!$B$4:$H$100,3,FALSE),"")</f>
        <v/>
      </c>
      <c r="J912" s="7"/>
      <c r="K912" s="7"/>
      <c r="L912" s="7"/>
      <c r="M912" s="7"/>
      <c r="N912" s="7"/>
      <c r="O912" s="7"/>
      <c r="P912" s="8">
        <f t="shared" si="73"/>
        <v>0</v>
      </c>
      <c r="Q912" s="8">
        <f t="shared" si="74"/>
        <v>0</v>
      </c>
      <c r="R912" s="8">
        <f t="shared" si="75"/>
        <v>0</v>
      </c>
    </row>
    <row r="913" spans="1:18">
      <c r="A913" s="6"/>
      <c r="B913" t="str">
        <f t="shared" si="71"/>
        <v/>
      </c>
      <c r="C913" t="str">
        <f t="shared" si="72"/>
        <v/>
      </c>
      <c r="E913" t="str">
        <f>IFERROR(VLOOKUP(D913,Cadastro!$B$4:$H$100,2,FALSE),"")</f>
        <v/>
      </c>
      <c r="F913" t="str">
        <f>IFERROR(VLOOKUP(D913,Cadastro!$B$4:$H$100,3,FALSE),"")</f>
        <v/>
      </c>
      <c r="J913" s="7"/>
      <c r="K913" s="7"/>
      <c r="L913" s="7"/>
      <c r="M913" s="7"/>
      <c r="N913" s="7"/>
      <c r="O913" s="7"/>
      <c r="P913" s="8">
        <f t="shared" si="73"/>
        <v>0</v>
      </c>
      <c r="Q913" s="8">
        <f t="shared" si="74"/>
        <v>0</v>
      </c>
      <c r="R913" s="8">
        <f t="shared" si="75"/>
        <v>0</v>
      </c>
    </row>
    <row r="914" spans="1:18">
      <c r="A914" s="6"/>
      <c r="B914" t="str">
        <f t="shared" si="71"/>
        <v/>
      </c>
      <c r="C914" t="str">
        <f t="shared" si="72"/>
        <v/>
      </c>
      <c r="E914" t="str">
        <f>IFERROR(VLOOKUP(D914,Cadastro!$B$4:$H$100,2,FALSE),"")</f>
        <v/>
      </c>
      <c r="F914" t="str">
        <f>IFERROR(VLOOKUP(D914,Cadastro!$B$4:$H$100,3,FALSE),"")</f>
        <v/>
      </c>
      <c r="J914" s="7"/>
      <c r="K914" s="7"/>
      <c r="L914" s="7"/>
      <c r="M914" s="7"/>
      <c r="N914" s="7"/>
      <c r="O914" s="7"/>
      <c r="P914" s="8">
        <f t="shared" si="73"/>
        <v>0</v>
      </c>
      <c r="Q914" s="8">
        <f t="shared" si="74"/>
        <v>0</v>
      </c>
      <c r="R914" s="8">
        <f t="shared" si="75"/>
        <v>0</v>
      </c>
    </row>
    <row r="915" spans="1:18">
      <c r="A915" s="6"/>
      <c r="B915" t="str">
        <f t="shared" si="71"/>
        <v/>
      </c>
      <c r="C915" t="str">
        <f t="shared" si="72"/>
        <v/>
      </c>
      <c r="E915" t="str">
        <f>IFERROR(VLOOKUP(D915,Cadastro!$B$4:$H$100,2,FALSE),"")</f>
        <v/>
      </c>
      <c r="F915" t="str">
        <f>IFERROR(VLOOKUP(D915,Cadastro!$B$4:$H$100,3,FALSE),"")</f>
        <v/>
      </c>
      <c r="J915" s="7"/>
      <c r="K915" s="7"/>
      <c r="L915" s="7"/>
      <c r="M915" s="7"/>
      <c r="N915" s="7"/>
      <c r="O915" s="7"/>
      <c r="P915" s="8">
        <f t="shared" si="73"/>
        <v>0</v>
      </c>
      <c r="Q915" s="8">
        <f t="shared" si="74"/>
        <v>0</v>
      </c>
      <c r="R915" s="8">
        <f t="shared" si="75"/>
        <v>0</v>
      </c>
    </row>
    <row r="916" spans="1:18">
      <c r="A916" s="6"/>
      <c r="B916" t="str">
        <f t="shared" si="71"/>
        <v/>
      </c>
      <c r="C916" t="str">
        <f t="shared" si="72"/>
        <v/>
      </c>
      <c r="E916" t="str">
        <f>IFERROR(VLOOKUP(D916,Cadastro!$B$4:$H$100,2,FALSE),"")</f>
        <v/>
      </c>
      <c r="F916" t="str">
        <f>IFERROR(VLOOKUP(D916,Cadastro!$B$4:$H$100,3,FALSE),"")</f>
        <v/>
      </c>
      <c r="J916" s="7"/>
      <c r="K916" s="7"/>
      <c r="L916" s="7"/>
      <c r="M916" s="7"/>
      <c r="N916" s="7"/>
      <c r="O916" s="7"/>
      <c r="P916" s="8">
        <f t="shared" si="73"/>
        <v>0</v>
      </c>
      <c r="Q916" s="8">
        <f t="shared" si="74"/>
        <v>0</v>
      </c>
      <c r="R916" s="8">
        <f t="shared" si="75"/>
        <v>0</v>
      </c>
    </row>
    <row r="917" spans="1:18">
      <c r="A917" s="6"/>
      <c r="B917" t="str">
        <f t="shared" si="71"/>
        <v/>
      </c>
      <c r="C917" t="str">
        <f t="shared" si="72"/>
        <v/>
      </c>
      <c r="E917" t="str">
        <f>IFERROR(VLOOKUP(D917,Cadastro!$B$4:$H$100,2,FALSE),"")</f>
        <v/>
      </c>
      <c r="F917" t="str">
        <f>IFERROR(VLOOKUP(D917,Cadastro!$B$4:$H$100,3,FALSE),"")</f>
        <v/>
      </c>
      <c r="J917" s="7"/>
      <c r="K917" s="7"/>
      <c r="L917" s="7"/>
      <c r="M917" s="7"/>
      <c r="N917" s="7"/>
      <c r="O917" s="7"/>
      <c r="P917" s="8">
        <f t="shared" si="73"/>
        <v>0</v>
      </c>
      <c r="Q917" s="8">
        <f t="shared" si="74"/>
        <v>0</v>
      </c>
      <c r="R917" s="8">
        <f t="shared" si="75"/>
        <v>0</v>
      </c>
    </row>
    <row r="918" spans="1:18">
      <c r="A918" s="6"/>
      <c r="B918" t="str">
        <f t="shared" si="71"/>
        <v/>
      </c>
      <c r="C918" t="str">
        <f t="shared" si="72"/>
        <v/>
      </c>
      <c r="E918" t="str">
        <f>IFERROR(VLOOKUP(D918,Cadastro!$B$4:$H$100,2,FALSE),"")</f>
        <v/>
      </c>
      <c r="F918" t="str">
        <f>IFERROR(VLOOKUP(D918,Cadastro!$B$4:$H$100,3,FALSE),"")</f>
        <v/>
      </c>
      <c r="J918" s="7"/>
      <c r="K918" s="7"/>
      <c r="L918" s="7"/>
      <c r="M918" s="7"/>
      <c r="N918" s="7"/>
      <c r="O918" s="7"/>
      <c r="P918" s="8">
        <f t="shared" si="73"/>
        <v>0</v>
      </c>
      <c r="Q918" s="8">
        <f t="shared" si="74"/>
        <v>0</v>
      </c>
      <c r="R918" s="8">
        <f t="shared" si="75"/>
        <v>0</v>
      </c>
    </row>
    <row r="919" spans="1:18">
      <c r="A919" s="6"/>
      <c r="B919" t="str">
        <f t="shared" si="71"/>
        <v/>
      </c>
      <c r="C919" t="str">
        <f t="shared" si="72"/>
        <v/>
      </c>
      <c r="E919" t="str">
        <f>IFERROR(VLOOKUP(D919,Cadastro!$B$4:$H$100,2,FALSE),"")</f>
        <v/>
      </c>
      <c r="F919" t="str">
        <f>IFERROR(VLOOKUP(D919,Cadastro!$B$4:$H$100,3,FALSE),"")</f>
        <v/>
      </c>
      <c r="J919" s="7"/>
      <c r="K919" s="7"/>
      <c r="L919" s="7"/>
      <c r="M919" s="7"/>
      <c r="N919" s="7"/>
      <c r="O919" s="7"/>
      <c r="P919" s="8">
        <f t="shared" si="73"/>
        <v>0</v>
      </c>
      <c r="Q919" s="8">
        <f t="shared" si="74"/>
        <v>0</v>
      </c>
      <c r="R919" s="8">
        <f t="shared" si="75"/>
        <v>0</v>
      </c>
    </row>
    <row r="920" spans="1:18">
      <c r="A920" s="6"/>
      <c r="B920" t="str">
        <f t="shared" si="71"/>
        <v/>
      </c>
      <c r="C920" t="str">
        <f t="shared" si="72"/>
        <v/>
      </c>
      <c r="E920" t="str">
        <f>IFERROR(VLOOKUP(D920,Cadastro!$B$4:$H$100,2,FALSE),"")</f>
        <v/>
      </c>
      <c r="F920" t="str">
        <f>IFERROR(VLOOKUP(D920,Cadastro!$B$4:$H$100,3,FALSE),"")</f>
        <v/>
      </c>
      <c r="J920" s="7"/>
      <c r="K920" s="7"/>
      <c r="L920" s="7"/>
      <c r="M920" s="7"/>
      <c r="N920" s="7"/>
      <c r="O920" s="7"/>
      <c r="P920" s="8">
        <f t="shared" si="73"/>
        <v>0</v>
      </c>
      <c r="Q920" s="8">
        <f t="shared" si="74"/>
        <v>0</v>
      </c>
      <c r="R920" s="8">
        <f t="shared" si="75"/>
        <v>0</v>
      </c>
    </row>
    <row r="921" spans="1:18">
      <c r="A921" s="6"/>
      <c r="B921" t="str">
        <f t="shared" si="71"/>
        <v/>
      </c>
      <c r="C921" t="str">
        <f t="shared" si="72"/>
        <v/>
      </c>
      <c r="E921" t="str">
        <f>IFERROR(VLOOKUP(D921,Cadastro!$B$4:$H$100,2,FALSE),"")</f>
        <v/>
      </c>
      <c r="F921" t="str">
        <f>IFERROR(VLOOKUP(D921,Cadastro!$B$4:$H$100,3,FALSE),"")</f>
        <v/>
      </c>
      <c r="J921" s="7"/>
      <c r="K921" s="7"/>
      <c r="L921" s="7"/>
      <c r="M921" s="7"/>
      <c r="N921" s="7"/>
      <c r="O921" s="7"/>
      <c r="P921" s="8">
        <f t="shared" si="73"/>
        <v>0</v>
      </c>
      <c r="Q921" s="8">
        <f t="shared" si="74"/>
        <v>0</v>
      </c>
      <c r="R921" s="8">
        <f t="shared" si="75"/>
        <v>0</v>
      </c>
    </row>
    <row r="922" spans="1:18">
      <c r="A922" s="6"/>
      <c r="B922" t="str">
        <f t="shared" si="71"/>
        <v/>
      </c>
      <c r="C922" t="str">
        <f t="shared" si="72"/>
        <v/>
      </c>
      <c r="E922" t="str">
        <f>IFERROR(VLOOKUP(D922,Cadastro!$B$4:$H$100,2,FALSE),"")</f>
        <v/>
      </c>
      <c r="F922" t="str">
        <f>IFERROR(VLOOKUP(D922,Cadastro!$B$4:$H$100,3,FALSE),"")</f>
        <v/>
      </c>
      <c r="J922" s="7"/>
      <c r="K922" s="7"/>
      <c r="L922" s="7"/>
      <c r="M922" s="7"/>
      <c r="N922" s="7"/>
      <c r="O922" s="7"/>
      <c r="P922" s="8">
        <f t="shared" si="73"/>
        <v>0</v>
      </c>
      <c r="Q922" s="8">
        <f t="shared" si="74"/>
        <v>0</v>
      </c>
      <c r="R922" s="8">
        <f t="shared" si="75"/>
        <v>0</v>
      </c>
    </row>
    <row r="923" spans="1:18">
      <c r="A923" s="6"/>
      <c r="B923" t="str">
        <f t="shared" si="71"/>
        <v/>
      </c>
      <c r="C923" t="str">
        <f t="shared" si="72"/>
        <v/>
      </c>
      <c r="E923" t="str">
        <f>IFERROR(VLOOKUP(D923,Cadastro!$B$4:$H$100,2,FALSE),"")</f>
        <v/>
      </c>
      <c r="F923" t="str">
        <f>IFERROR(VLOOKUP(D923,Cadastro!$B$4:$H$100,3,FALSE),"")</f>
        <v/>
      </c>
      <c r="J923" s="7"/>
      <c r="K923" s="7"/>
      <c r="L923" s="7"/>
      <c r="M923" s="7"/>
      <c r="N923" s="7"/>
      <c r="O923" s="7"/>
      <c r="P923" s="8">
        <f t="shared" si="73"/>
        <v>0</v>
      </c>
      <c r="Q923" s="8">
        <f t="shared" si="74"/>
        <v>0</v>
      </c>
      <c r="R923" s="8">
        <f t="shared" si="75"/>
        <v>0</v>
      </c>
    </row>
    <row r="924" spans="1:18">
      <c r="A924" s="6"/>
      <c r="B924" t="str">
        <f t="shared" si="71"/>
        <v/>
      </c>
      <c r="C924" t="str">
        <f t="shared" si="72"/>
        <v/>
      </c>
      <c r="E924" t="str">
        <f>IFERROR(VLOOKUP(D924,Cadastro!$B$4:$H$100,2,FALSE),"")</f>
        <v/>
      </c>
      <c r="F924" t="str">
        <f>IFERROR(VLOOKUP(D924,Cadastro!$B$4:$H$100,3,FALSE),"")</f>
        <v/>
      </c>
      <c r="J924" s="7"/>
      <c r="K924" s="7"/>
      <c r="L924" s="7"/>
      <c r="M924" s="7"/>
      <c r="N924" s="7"/>
      <c r="O924" s="7"/>
      <c r="P924" s="8">
        <f t="shared" si="73"/>
        <v>0</v>
      </c>
      <c r="Q924" s="8">
        <f t="shared" si="74"/>
        <v>0</v>
      </c>
      <c r="R924" s="8">
        <f t="shared" si="75"/>
        <v>0</v>
      </c>
    </row>
    <row r="925" spans="1:18">
      <c r="A925" s="6"/>
      <c r="B925" t="str">
        <f t="shared" si="71"/>
        <v/>
      </c>
      <c r="C925" t="str">
        <f t="shared" si="72"/>
        <v/>
      </c>
      <c r="E925" t="str">
        <f>IFERROR(VLOOKUP(D925,Cadastro!$B$4:$H$100,2,FALSE),"")</f>
        <v/>
      </c>
      <c r="F925" t="str">
        <f>IFERROR(VLOOKUP(D925,Cadastro!$B$4:$H$100,3,FALSE),"")</f>
        <v/>
      </c>
      <c r="J925" s="7"/>
      <c r="K925" s="7"/>
      <c r="L925" s="7"/>
      <c r="M925" s="7"/>
      <c r="N925" s="7"/>
      <c r="O925" s="7"/>
      <c r="P925" s="8">
        <f t="shared" si="73"/>
        <v>0</v>
      </c>
      <c r="Q925" s="8">
        <f t="shared" si="74"/>
        <v>0</v>
      </c>
      <c r="R925" s="8">
        <f t="shared" si="75"/>
        <v>0</v>
      </c>
    </row>
    <row r="926" spans="1:18">
      <c r="A926" s="6"/>
      <c r="B926" t="str">
        <f t="shared" si="71"/>
        <v/>
      </c>
      <c r="C926" t="str">
        <f t="shared" si="72"/>
        <v/>
      </c>
      <c r="E926" t="str">
        <f>IFERROR(VLOOKUP(D926,Cadastro!$B$4:$H$100,2,FALSE),"")</f>
        <v/>
      </c>
      <c r="F926" t="str">
        <f>IFERROR(VLOOKUP(D926,Cadastro!$B$4:$H$100,3,FALSE),"")</f>
        <v/>
      </c>
      <c r="J926" s="7"/>
      <c r="K926" s="7"/>
      <c r="L926" s="7"/>
      <c r="M926" s="7"/>
      <c r="N926" s="7"/>
      <c r="O926" s="7"/>
      <c r="P926" s="8">
        <f t="shared" si="73"/>
        <v>0</v>
      </c>
      <c r="Q926" s="8">
        <f t="shared" si="74"/>
        <v>0</v>
      </c>
      <c r="R926" s="8">
        <f t="shared" si="75"/>
        <v>0</v>
      </c>
    </row>
    <row r="927" spans="1:18">
      <c r="A927" s="6"/>
      <c r="B927" t="str">
        <f t="shared" si="71"/>
        <v/>
      </c>
      <c r="C927" t="str">
        <f t="shared" si="72"/>
        <v/>
      </c>
      <c r="E927" t="str">
        <f>IFERROR(VLOOKUP(D927,Cadastro!$B$4:$H$100,2,FALSE),"")</f>
        <v/>
      </c>
      <c r="F927" t="str">
        <f>IFERROR(VLOOKUP(D927,Cadastro!$B$4:$H$100,3,FALSE),"")</f>
        <v/>
      </c>
      <c r="J927" s="7"/>
      <c r="K927" s="7"/>
      <c r="L927" s="7"/>
      <c r="M927" s="7"/>
      <c r="N927" s="7"/>
      <c r="O927" s="7"/>
      <c r="P927" s="8">
        <f t="shared" si="73"/>
        <v>0</v>
      </c>
      <c r="Q927" s="8">
        <f t="shared" si="74"/>
        <v>0</v>
      </c>
      <c r="R927" s="8">
        <f t="shared" si="75"/>
        <v>0</v>
      </c>
    </row>
    <row r="928" spans="1:18">
      <c r="A928" s="6"/>
      <c r="B928" t="str">
        <f t="shared" si="71"/>
        <v/>
      </c>
      <c r="C928" t="str">
        <f t="shared" si="72"/>
        <v/>
      </c>
      <c r="E928" t="str">
        <f>IFERROR(VLOOKUP(D928,Cadastro!$B$4:$H$100,2,FALSE),"")</f>
        <v/>
      </c>
      <c r="F928" t="str">
        <f>IFERROR(VLOOKUP(D928,Cadastro!$B$4:$H$100,3,FALSE),"")</f>
        <v/>
      </c>
      <c r="J928" s="7"/>
      <c r="K928" s="7"/>
      <c r="L928" s="7"/>
      <c r="M928" s="7"/>
      <c r="N928" s="7"/>
      <c r="O928" s="7"/>
      <c r="P928" s="8">
        <f t="shared" si="73"/>
        <v>0</v>
      </c>
      <c r="Q928" s="8">
        <f t="shared" si="74"/>
        <v>0</v>
      </c>
      <c r="R928" s="8">
        <f t="shared" si="75"/>
        <v>0</v>
      </c>
    </row>
    <row r="929" spans="1:18">
      <c r="A929" s="6"/>
      <c r="B929" t="str">
        <f t="shared" si="71"/>
        <v/>
      </c>
      <c r="C929" t="str">
        <f t="shared" si="72"/>
        <v/>
      </c>
      <c r="E929" t="str">
        <f>IFERROR(VLOOKUP(D929,Cadastro!$B$4:$H$100,2,FALSE),"")</f>
        <v/>
      </c>
      <c r="F929" t="str">
        <f>IFERROR(VLOOKUP(D929,Cadastro!$B$4:$H$100,3,FALSE),"")</f>
        <v/>
      </c>
      <c r="J929" s="7"/>
      <c r="K929" s="7"/>
      <c r="L929" s="7"/>
      <c r="M929" s="7"/>
      <c r="N929" s="7"/>
      <c r="O929" s="7"/>
      <c r="P929" s="8">
        <f t="shared" si="73"/>
        <v>0</v>
      </c>
      <c r="Q929" s="8">
        <f t="shared" si="74"/>
        <v>0</v>
      </c>
      <c r="R929" s="8">
        <f t="shared" si="75"/>
        <v>0</v>
      </c>
    </row>
    <row r="930" spans="1:18">
      <c r="A930" s="6"/>
      <c r="B930" t="str">
        <f t="shared" si="71"/>
        <v/>
      </c>
      <c r="C930" t="str">
        <f t="shared" si="72"/>
        <v/>
      </c>
      <c r="E930" t="str">
        <f>IFERROR(VLOOKUP(D930,Cadastro!$B$4:$H$100,2,FALSE),"")</f>
        <v/>
      </c>
      <c r="F930" t="str">
        <f>IFERROR(VLOOKUP(D930,Cadastro!$B$4:$H$100,3,FALSE),"")</f>
        <v/>
      </c>
      <c r="J930" s="7"/>
      <c r="K930" s="7"/>
      <c r="L930" s="7"/>
      <c r="M930" s="7"/>
      <c r="N930" s="7"/>
      <c r="O930" s="7"/>
      <c r="P930" s="8">
        <f t="shared" si="73"/>
        <v>0</v>
      </c>
      <c r="Q930" s="8">
        <f t="shared" si="74"/>
        <v>0</v>
      </c>
      <c r="R930" s="8">
        <f t="shared" si="75"/>
        <v>0</v>
      </c>
    </row>
    <row r="931" spans="1:18">
      <c r="A931" s="6"/>
      <c r="B931" t="str">
        <f t="shared" si="71"/>
        <v/>
      </c>
      <c r="C931" t="str">
        <f t="shared" si="72"/>
        <v/>
      </c>
      <c r="E931" t="str">
        <f>IFERROR(VLOOKUP(D931,Cadastro!$B$4:$H$100,2,FALSE),"")</f>
        <v/>
      </c>
      <c r="F931" t="str">
        <f>IFERROR(VLOOKUP(D931,Cadastro!$B$4:$H$100,3,FALSE),"")</f>
        <v/>
      </c>
      <c r="J931" s="7"/>
      <c r="K931" s="7"/>
      <c r="L931" s="7"/>
      <c r="M931" s="7"/>
      <c r="N931" s="7"/>
      <c r="O931" s="7"/>
      <c r="P931" s="8">
        <f t="shared" si="73"/>
        <v>0</v>
      </c>
      <c r="Q931" s="8">
        <f t="shared" si="74"/>
        <v>0</v>
      </c>
      <c r="R931" s="8">
        <f t="shared" si="75"/>
        <v>0</v>
      </c>
    </row>
    <row r="932" spans="1:18">
      <c r="A932" s="6"/>
      <c r="B932" t="str">
        <f t="shared" si="71"/>
        <v/>
      </c>
      <c r="C932" t="str">
        <f t="shared" si="72"/>
        <v/>
      </c>
      <c r="E932" t="str">
        <f>IFERROR(VLOOKUP(D932,Cadastro!$B$4:$H$100,2,FALSE),"")</f>
        <v/>
      </c>
      <c r="F932" t="str">
        <f>IFERROR(VLOOKUP(D932,Cadastro!$B$4:$H$100,3,FALSE),"")</f>
        <v/>
      </c>
      <c r="J932" s="7"/>
      <c r="K932" s="7"/>
      <c r="L932" s="7"/>
      <c r="M932" s="7"/>
      <c r="N932" s="7"/>
      <c r="O932" s="7"/>
      <c r="P932" s="8">
        <f t="shared" si="73"/>
        <v>0</v>
      </c>
      <c r="Q932" s="8">
        <f t="shared" si="74"/>
        <v>0</v>
      </c>
      <c r="R932" s="8">
        <f t="shared" si="75"/>
        <v>0</v>
      </c>
    </row>
    <row r="933" spans="1:18">
      <c r="A933" s="6"/>
      <c r="B933" t="str">
        <f t="shared" si="71"/>
        <v/>
      </c>
      <c r="C933" t="str">
        <f t="shared" si="72"/>
        <v/>
      </c>
      <c r="E933" t="str">
        <f>IFERROR(VLOOKUP(D933,Cadastro!$B$4:$H$100,2,FALSE),"")</f>
        <v/>
      </c>
      <c r="F933" t="str">
        <f>IFERROR(VLOOKUP(D933,Cadastro!$B$4:$H$100,3,FALSE),"")</f>
        <v/>
      </c>
      <c r="J933" s="7"/>
      <c r="K933" s="7"/>
      <c r="L933" s="7"/>
      <c r="M933" s="7"/>
      <c r="N933" s="7"/>
      <c r="O933" s="7"/>
      <c r="P933" s="8">
        <f t="shared" si="73"/>
        <v>0</v>
      </c>
      <c r="Q933" s="8">
        <f t="shared" si="74"/>
        <v>0</v>
      </c>
      <c r="R933" s="8">
        <f t="shared" si="75"/>
        <v>0</v>
      </c>
    </row>
    <row r="934" spans="1:18">
      <c r="A934" s="6"/>
      <c r="B934" t="str">
        <f t="shared" si="71"/>
        <v/>
      </c>
      <c r="C934" t="str">
        <f t="shared" si="72"/>
        <v/>
      </c>
      <c r="E934" t="str">
        <f>IFERROR(VLOOKUP(D934,Cadastro!$B$4:$H$100,2,FALSE),"")</f>
        <v/>
      </c>
      <c r="F934" t="str">
        <f>IFERROR(VLOOKUP(D934,Cadastro!$B$4:$H$100,3,FALSE),"")</f>
        <v/>
      </c>
      <c r="J934" s="7"/>
      <c r="K934" s="7"/>
      <c r="L934" s="7"/>
      <c r="M934" s="7"/>
      <c r="N934" s="7"/>
      <c r="O934" s="7"/>
      <c r="P934" s="8">
        <f t="shared" si="73"/>
        <v>0</v>
      </c>
      <c r="Q934" s="8">
        <f t="shared" si="74"/>
        <v>0</v>
      </c>
      <c r="R934" s="8">
        <f t="shared" si="75"/>
        <v>0</v>
      </c>
    </row>
    <row r="935" spans="1:18">
      <c r="A935" s="6"/>
      <c r="B935" t="str">
        <f t="shared" si="71"/>
        <v/>
      </c>
      <c r="C935" t="str">
        <f t="shared" si="72"/>
        <v/>
      </c>
      <c r="E935" t="str">
        <f>IFERROR(VLOOKUP(D935,Cadastro!$B$4:$H$100,2,FALSE),"")</f>
        <v/>
      </c>
      <c r="F935" t="str">
        <f>IFERROR(VLOOKUP(D935,Cadastro!$B$4:$H$100,3,FALSE),"")</f>
        <v/>
      </c>
      <c r="J935" s="7"/>
      <c r="K935" s="7"/>
      <c r="L935" s="7"/>
      <c r="M935" s="7"/>
      <c r="N935" s="7"/>
      <c r="O935" s="7"/>
      <c r="P935" s="8">
        <f t="shared" si="73"/>
        <v>0</v>
      </c>
      <c r="Q935" s="8">
        <f t="shared" si="74"/>
        <v>0</v>
      </c>
      <c r="R935" s="8">
        <f t="shared" si="75"/>
        <v>0</v>
      </c>
    </row>
    <row r="936" spans="1:18">
      <c r="A936" s="6"/>
      <c r="B936" t="str">
        <f t="shared" si="71"/>
        <v/>
      </c>
      <c r="C936" t="str">
        <f t="shared" si="72"/>
        <v/>
      </c>
      <c r="E936" t="str">
        <f>IFERROR(VLOOKUP(D936,Cadastro!$B$4:$H$100,2,FALSE),"")</f>
        <v/>
      </c>
      <c r="F936" t="str">
        <f>IFERROR(VLOOKUP(D936,Cadastro!$B$4:$H$100,3,FALSE),"")</f>
        <v/>
      </c>
      <c r="J936" s="7"/>
      <c r="K936" s="7"/>
      <c r="L936" s="7"/>
      <c r="M936" s="7"/>
      <c r="N936" s="7"/>
      <c r="O936" s="7"/>
      <c r="P936" s="8">
        <f t="shared" si="73"/>
        <v>0</v>
      </c>
      <c r="Q936" s="8">
        <f t="shared" si="74"/>
        <v>0</v>
      </c>
      <c r="R936" s="8">
        <f t="shared" si="75"/>
        <v>0</v>
      </c>
    </row>
    <row r="937" spans="1:18">
      <c r="A937" s="6"/>
      <c r="B937" t="str">
        <f t="shared" si="71"/>
        <v/>
      </c>
      <c r="C937" t="str">
        <f t="shared" si="72"/>
        <v/>
      </c>
      <c r="E937" t="str">
        <f>IFERROR(VLOOKUP(D937,Cadastro!$B$4:$H$100,2,FALSE),"")</f>
        <v/>
      </c>
      <c r="F937" t="str">
        <f>IFERROR(VLOOKUP(D937,Cadastro!$B$4:$H$100,3,FALSE),"")</f>
        <v/>
      </c>
      <c r="J937" s="7"/>
      <c r="K937" s="7"/>
      <c r="L937" s="7"/>
      <c r="M937" s="7"/>
      <c r="N937" s="7"/>
      <c r="O937" s="7"/>
      <c r="P937" s="8">
        <f t="shared" si="73"/>
        <v>0</v>
      </c>
      <c r="Q937" s="8">
        <f t="shared" si="74"/>
        <v>0</v>
      </c>
      <c r="R937" s="8">
        <f t="shared" si="75"/>
        <v>0</v>
      </c>
    </row>
    <row r="938" spans="1:18">
      <c r="A938" s="6"/>
      <c r="B938" t="str">
        <f t="shared" si="71"/>
        <v/>
      </c>
      <c r="C938" t="str">
        <f t="shared" si="72"/>
        <v/>
      </c>
      <c r="E938" t="str">
        <f>IFERROR(VLOOKUP(D938,Cadastro!$B$4:$H$100,2,FALSE),"")</f>
        <v/>
      </c>
      <c r="F938" t="str">
        <f>IFERROR(VLOOKUP(D938,Cadastro!$B$4:$H$100,3,FALSE),"")</f>
        <v/>
      </c>
      <c r="J938" s="7"/>
      <c r="K938" s="7"/>
      <c r="L938" s="7"/>
      <c r="M938" s="7"/>
      <c r="N938" s="7"/>
      <c r="O938" s="7"/>
      <c r="P938" s="8">
        <f t="shared" si="73"/>
        <v>0</v>
      </c>
      <c r="Q938" s="8">
        <f t="shared" si="74"/>
        <v>0</v>
      </c>
      <c r="R938" s="8">
        <f t="shared" si="75"/>
        <v>0</v>
      </c>
    </row>
    <row r="939" spans="1:18">
      <c r="A939" s="6"/>
      <c r="B939" t="str">
        <f t="shared" si="71"/>
        <v/>
      </c>
      <c r="C939" t="str">
        <f t="shared" si="72"/>
        <v/>
      </c>
      <c r="E939" t="str">
        <f>IFERROR(VLOOKUP(D939,Cadastro!$B$4:$H$100,2,FALSE),"")</f>
        <v/>
      </c>
      <c r="F939" t="str">
        <f>IFERROR(VLOOKUP(D939,Cadastro!$B$4:$H$100,3,FALSE),"")</f>
        <v/>
      </c>
      <c r="J939" s="7"/>
      <c r="K939" s="7"/>
      <c r="L939" s="7"/>
      <c r="M939" s="7"/>
      <c r="N939" s="7"/>
      <c r="O939" s="7"/>
      <c r="P939" s="8">
        <f t="shared" si="73"/>
        <v>0</v>
      </c>
      <c r="Q939" s="8">
        <f t="shared" si="74"/>
        <v>0</v>
      </c>
      <c r="R939" s="8">
        <f t="shared" si="75"/>
        <v>0</v>
      </c>
    </row>
    <row r="940" spans="1:18">
      <c r="A940" s="6"/>
      <c r="B940" t="str">
        <f t="shared" si="71"/>
        <v/>
      </c>
      <c r="C940" t="str">
        <f t="shared" si="72"/>
        <v/>
      </c>
      <c r="E940" t="str">
        <f>IFERROR(VLOOKUP(D940,Cadastro!$B$4:$H$100,2,FALSE),"")</f>
        <v/>
      </c>
      <c r="F940" t="str">
        <f>IFERROR(VLOOKUP(D940,Cadastro!$B$4:$H$100,3,FALSE),"")</f>
        <v/>
      </c>
      <c r="J940" s="7"/>
      <c r="K940" s="7"/>
      <c r="L940" s="7"/>
      <c r="M940" s="7"/>
      <c r="N940" s="7"/>
      <c r="O940" s="7"/>
      <c r="P940" s="8">
        <f t="shared" si="73"/>
        <v>0</v>
      </c>
      <c r="Q940" s="8">
        <f t="shared" si="74"/>
        <v>0</v>
      </c>
      <c r="R940" s="8">
        <f t="shared" si="75"/>
        <v>0</v>
      </c>
    </row>
    <row r="941" spans="1:18">
      <c r="A941" s="6"/>
      <c r="B941" t="str">
        <f t="shared" si="71"/>
        <v/>
      </c>
      <c r="C941" t="str">
        <f t="shared" si="72"/>
        <v/>
      </c>
      <c r="E941" t="str">
        <f>IFERROR(VLOOKUP(D941,Cadastro!$B$4:$H$100,2,FALSE),"")</f>
        <v/>
      </c>
      <c r="F941" t="str">
        <f>IFERROR(VLOOKUP(D941,Cadastro!$B$4:$H$100,3,FALSE),"")</f>
        <v/>
      </c>
      <c r="J941" s="7"/>
      <c r="K941" s="7"/>
      <c r="L941" s="7"/>
      <c r="M941" s="7"/>
      <c r="N941" s="7"/>
      <c r="O941" s="7"/>
      <c r="P941" s="8">
        <f t="shared" si="73"/>
        <v>0</v>
      </c>
      <c r="Q941" s="8">
        <f t="shared" si="74"/>
        <v>0</v>
      </c>
      <c r="R941" s="8">
        <f t="shared" si="75"/>
        <v>0</v>
      </c>
    </row>
    <row r="942" spans="1:18">
      <c r="A942" s="6"/>
      <c r="B942" t="str">
        <f t="shared" si="71"/>
        <v/>
      </c>
      <c r="C942" t="str">
        <f t="shared" si="72"/>
        <v/>
      </c>
      <c r="E942" t="str">
        <f>IFERROR(VLOOKUP(D942,Cadastro!$B$4:$H$100,2,FALSE),"")</f>
        <v/>
      </c>
      <c r="F942" t="str">
        <f>IFERROR(VLOOKUP(D942,Cadastro!$B$4:$H$100,3,FALSE),"")</f>
        <v/>
      </c>
      <c r="J942" s="7"/>
      <c r="K942" s="7"/>
      <c r="L942" s="7"/>
      <c r="M942" s="7"/>
      <c r="N942" s="7"/>
      <c r="O942" s="7"/>
      <c r="P942" s="8">
        <f t="shared" si="73"/>
        <v>0</v>
      </c>
      <c r="Q942" s="8">
        <f t="shared" si="74"/>
        <v>0</v>
      </c>
      <c r="R942" s="8">
        <f t="shared" si="75"/>
        <v>0</v>
      </c>
    </row>
    <row r="943" spans="1:18">
      <c r="A943" s="6"/>
      <c r="B943" t="str">
        <f t="shared" si="71"/>
        <v/>
      </c>
      <c r="C943" t="str">
        <f t="shared" si="72"/>
        <v/>
      </c>
      <c r="E943" t="str">
        <f>IFERROR(VLOOKUP(D943,Cadastro!$B$4:$H$100,2,FALSE),"")</f>
        <v/>
      </c>
      <c r="F943" t="str">
        <f>IFERROR(VLOOKUP(D943,Cadastro!$B$4:$H$100,3,FALSE),"")</f>
        <v/>
      </c>
      <c r="J943" s="7"/>
      <c r="K943" s="7"/>
      <c r="L943" s="7"/>
      <c r="M943" s="7"/>
      <c r="N943" s="7"/>
      <c r="O943" s="7"/>
      <c r="P943" s="8">
        <f t="shared" si="73"/>
        <v>0</v>
      </c>
      <c r="Q943" s="8">
        <f t="shared" si="74"/>
        <v>0</v>
      </c>
      <c r="R943" s="8">
        <f t="shared" si="75"/>
        <v>0</v>
      </c>
    </row>
    <row r="944" spans="1:18">
      <c r="A944" s="6"/>
      <c r="B944" t="str">
        <f t="shared" si="71"/>
        <v/>
      </c>
      <c r="C944" t="str">
        <f t="shared" si="72"/>
        <v/>
      </c>
      <c r="E944" t="str">
        <f>IFERROR(VLOOKUP(D944,Cadastro!$B$4:$H$100,2,FALSE),"")</f>
        <v/>
      </c>
      <c r="F944" t="str">
        <f>IFERROR(VLOOKUP(D944,Cadastro!$B$4:$H$100,3,FALSE),"")</f>
        <v/>
      </c>
      <c r="J944" s="7"/>
      <c r="K944" s="7"/>
      <c r="L944" s="7"/>
      <c r="M944" s="7"/>
      <c r="N944" s="7"/>
      <c r="O944" s="7"/>
      <c r="P944" s="8">
        <f t="shared" si="73"/>
        <v>0</v>
      </c>
      <c r="Q944" s="8">
        <f t="shared" si="74"/>
        <v>0</v>
      </c>
      <c r="R944" s="8">
        <f t="shared" si="75"/>
        <v>0</v>
      </c>
    </row>
    <row r="945" spans="1:18">
      <c r="A945" s="6"/>
      <c r="B945" t="str">
        <f t="shared" si="71"/>
        <v/>
      </c>
      <c r="C945" t="str">
        <f t="shared" si="72"/>
        <v/>
      </c>
      <c r="E945" t="str">
        <f>IFERROR(VLOOKUP(D945,Cadastro!$B$4:$H$100,2,FALSE),"")</f>
        <v/>
      </c>
      <c r="F945" t="str">
        <f>IFERROR(VLOOKUP(D945,Cadastro!$B$4:$H$100,3,FALSE),"")</f>
        <v/>
      </c>
      <c r="J945" s="7"/>
      <c r="K945" s="7"/>
      <c r="L945" s="7"/>
      <c r="M945" s="7"/>
      <c r="N945" s="7"/>
      <c r="O945" s="7"/>
      <c r="P945" s="8">
        <f t="shared" si="73"/>
        <v>0</v>
      </c>
      <c r="Q945" s="8">
        <f t="shared" si="74"/>
        <v>0</v>
      </c>
      <c r="R945" s="8">
        <f t="shared" si="75"/>
        <v>0</v>
      </c>
    </row>
    <row r="946" spans="1:18">
      <c r="A946" s="6"/>
      <c r="B946" t="str">
        <f t="shared" si="71"/>
        <v/>
      </c>
      <c r="C946" t="str">
        <f t="shared" si="72"/>
        <v/>
      </c>
      <c r="E946" t="str">
        <f>IFERROR(VLOOKUP(D946,Cadastro!$B$4:$H$100,2,FALSE),"")</f>
        <v/>
      </c>
      <c r="F946" t="str">
        <f>IFERROR(VLOOKUP(D946,Cadastro!$B$4:$H$100,3,FALSE),"")</f>
        <v/>
      </c>
      <c r="J946" s="7"/>
      <c r="K946" s="7"/>
      <c r="L946" s="7"/>
      <c r="M946" s="7"/>
      <c r="N946" s="7"/>
      <c r="O946" s="7"/>
      <c r="P946" s="8">
        <f t="shared" si="73"/>
        <v>0</v>
      </c>
      <c r="Q946" s="8">
        <f t="shared" si="74"/>
        <v>0</v>
      </c>
      <c r="R946" s="8">
        <f t="shared" si="75"/>
        <v>0</v>
      </c>
    </row>
    <row r="947" spans="1:18">
      <c r="A947" s="6"/>
      <c r="B947" t="str">
        <f t="shared" si="71"/>
        <v/>
      </c>
      <c r="C947" t="str">
        <f t="shared" si="72"/>
        <v/>
      </c>
      <c r="E947" t="str">
        <f>IFERROR(VLOOKUP(D947,Cadastro!$B$4:$H$100,2,FALSE),"")</f>
        <v/>
      </c>
      <c r="F947" t="str">
        <f>IFERROR(VLOOKUP(D947,Cadastro!$B$4:$H$100,3,FALSE),"")</f>
        <v/>
      </c>
      <c r="J947" s="7"/>
      <c r="K947" s="7"/>
      <c r="L947" s="7"/>
      <c r="M947" s="7"/>
      <c r="N947" s="7"/>
      <c r="O947" s="7"/>
      <c r="P947" s="8">
        <f t="shared" si="73"/>
        <v>0</v>
      </c>
      <c r="Q947" s="8">
        <f t="shared" si="74"/>
        <v>0</v>
      </c>
      <c r="R947" s="8">
        <f t="shared" si="75"/>
        <v>0</v>
      </c>
    </row>
    <row r="948" spans="1:18">
      <c r="A948" s="6"/>
      <c r="B948" t="str">
        <f t="shared" si="71"/>
        <v/>
      </c>
      <c r="C948" t="str">
        <f t="shared" si="72"/>
        <v/>
      </c>
      <c r="E948" t="str">
        <f>IFERROR(VLOOKUP(D948,Cadastro!$B$4:$H$100,2,FALSE),"")</f>
        <v/>
      </c>
      <c r="F948" t="str">
        <f>IFERROR(VLOOKUP(D948,Cadastro!$B$4:$H$100,3,FALSE),"")</f>
        <v/>
      </c>
      <c r="J948" s="7"/>
      <c r="K948" s="7"/>
      <c r="L948" s="7"/>
      <c r="M948" s="7"/>
      <c r="N948" s="7"/>
      <c r="O948" s="7"/>
      <c r="P948" s="8">
        <f t="shared" si="73"/>
        <v>0</v>
      </c>
      <c r="Q948" s="8">
        <f t="shared" si="74"/>
        <v>0</v>
      </c>
      <c r="R948" s="8">
        <f t="shared" si="75"/>
        <v>0</v>
      </c>
    </row>
    <row r="949" spans="1:18">
      <c r="A949" s="6"/>
      <c r="B949" t="str">
        <f t="shared" si="71"/>
        <v/>
      </c>
      <c r="C949" t="str">
        <f t="shared" si="72"/>
        <v/>
      </c>
      <c r="E949" t="str">
        <f>IFERROR(VLOOKUP(D949,Cadastro!$B$4:$H$100,2,FALSE),"")</f>
        <v/>
      </c>
      <c r="F949" t="str">
        <f>IFERROR(VLOOKUP(D949,Cadastro!$B$4:$H$100,3,FALSE),"")</f>
        <v/>
      </c>
      <c r="J949" s="7"/>
      <c r="K949" s="7"/>
      <c r="L949" s="7"/>
      <c r="M949" s="7"/>
      <c r="N949" s="7"/>
      <c r="O949" s="7"/>
      <c r="P949" s="8">
        <f t="shared" si="73"/>
        <v>0</v>
      </c>
      <c r="Q949" s="8">
        <f t="shared" si="74"/>
        <v>0</v>
      </c>
      <c r="R949" s="8">
        <f t="shared" si="75"/>
        <v>0</v>
      </c>
    </row>
    <row r="950" spans="1:18">
      <c r="A950" s="6"/>
      <c r="B950" t="str">
        <f t="shared" si="71"/>
        <v/>
      </c>
      <c r="C950" t="str">
        <f t="shared" si="72"/>
        <v/>
      </c>
      <c r="E950" t="str">
        <f>IFERROR(VLOOKUP(D950,Cadastro!$B$4:$H$100,2,FALSE),"")</f>
        <v/>
      </c>
      <c r="F950" t="str">
        <f>IFERROR(VLOOKUP(D950,Cadastro!$B$4:$H$100,3,FALSE),"")</f>
        <v/>
      </c>
      <c r="J950" s="7"/>
      <c r="K950" s="7"/>
      <c r="L950" s="7"/>
      <c r="M950" s="7"/>
      <c r="N950" s="7"/>
      <c r="O950" s="7"/>
      <c r="P950" s="8">
        <f t="shared" si="73"/>
        <v>0</v>
      </c>
      <c r="Q950" s="8">
        <f t="shared" si="74"/>
        <v>0</v>
      </c>
      <c r="R950" s="8">
        <f t="shared" si="75"/>
        <v>0</v>
      </c>
    </row>
    <row r="951" spans="1:18">
      <c r="A951" s="6"/>
      <c r="B951" t="str">
        <f t="shared" si="71"/>
        <v/>
      </c>
      <c r="C951" t="str">
        <f t="shared" si="72"/>
        <v/>
      </c>
      <c r="E951" t="str">
        <f>IFERROR(VLOOKUP(D951,Cadastro!$B$4:$H$100,2,FALSE),"")</f>
        <v/>
      </c>
      <c r="F951" t="str">
        <f>IFERROR(VLOOKUP(D951,Cadastro!$B$4:$H$100,3,FALSE),"")</f>
        <v/>
      </c>
      <c r="J951" s="7"/>
      <c r="K951" s="7"/>
      <c r="L951" s="7"/>
      <c r="M951" s="7"/>
      <c r="N951" s="7"/>
      <c r="O951" s="7"/>
      <c r="P951" s="8">
        <f t="shared" si="73"/>
        <v>0</v>
      </c>
      <c r="Q951" s="8">
        <f t="shared" si="74"/>
        <v>0</v>
      </c>
      <c r="R951" s="8">
        <f t="shared" si="75"/>
        <v>0</v>
      </c>
    </row>
    <row r="952" spans="1:18">
      <c r="A952" s="6"/>
      <c r="B952" t="str">
        <f t="shared" si="71"/>
        <v/>
      </c>
      <c r="C952" t="str">
        <f t="shared" si="72"/>
        <v/>
      </c>
      <c r="E952" t="str">
        <f>IFERROR(VLOOKUP(D952,Cadastro!$B$4:$H$100,2,FALSE),"")</f>
        <v/>
      </c>
      <c r="F952" t="str">
        <f>IFERROR(VLOOKUP(D952,Cadastro!$B$4:$H$100,3,FALSE),"")</f>
        <v/>
      </c>
      <c r="J952" s="7"/>
      <c r="K952" s="7"/>
      <c r="L952" s="7"/>
      <c r="M952" s="7"/>
      <c r="N952" s="7"/>
      <c r="O952" s="7"/>
      <c r="P952" s="8">
        <f t="shared" si="73"/>
        <v>0</v>
      </c>
      <c r="Q952" s="8">
        <f t="shared" si="74"/>
        <v>0</v>
      </c>
      <c r="R952" s="8">
        <f t="shared" si="75"/>
        <v>0</v>
      </c>
    </row>
    <row r="953" spans="1:18">
      <c r="A953" s="6"/>
      <c r="B953" t="str">
        <f t="shared" si="71"/>
        <v/>
      </c>
      <c r="C953" t="str">
        <f t="shared" si="72"/>
        <v/>
      </c>
      <c r="E953" t="str">
        <f>IFERROR(VLOOKUP(D953,Cadastro!$B$4:$H$100,2,FALSE),"")</f>
        <v/>
      </c>
      <c r="F953" t="str">
        <f>IFERROR(VLOOKUP(D953,Cadastro!$B$4:$H$100,3,FALSE),"")</f>
        <v/>
      </c>
      <c r="J953" s="7"/>
      <c r="K953" s="7"/>
      <c r="L953" s="7"/>
      <c r="M953" s="7"/>
      <c r="N953" s="7"/>
      <c r="O953" s="7"/>
      <c r="P953" s="8">
        <f t="shared" si="73"/>
        <v>0</v>
      </c>
      <c r="Q953" s="8">
        <f t="shared" si="74"/>
        <v>0</v>
      </c>
      <c r="R953" s="8">
        <f t="shared" si="75"/>
        <v>0</v>
      </c>
    </row>
    <row r="954" spans="1:18">
      <c r="A954" s="6"/>
      <c r="B954" t="str">
        <f t="shared" si="71"/>
        <v/>
      </c>
      <c r="C954" t="str">
        <f t="shared" si="72"/>
        <v/>
      </c>
      <c r="E954" t="str">
        <f>IFERROR(VLOOKUP(D954,Cadastro!$B$4:$H$100,2,FALSE),"")</f>
        <v/>
      </c>
      <c r="F954" t="str">
        <f>IFERROR(VLOOKUP(D954,Cadastro!$B$4:$H$100,3,FALSE),"")</f>
        <v/>
      </c>
      <c r="J954" s="7"/>
      <c r="K954" s="7"/>
      <c r="L954" s="7"/>
      <c r="M954" s="7"/>
      <c r="N954" s="7"/>
      <c r="O954" s="7"/>
      <c r="P954" s="8">
        <f t="shared" si="73"/>
        <v>0</v>
      </c>
      <c r="Q954" s="8">
        <f t="shared" si="74"/>
        <v>0</v>
      </c>
      <c r="R954" s="8">
        <f t="shared" si="75"/>
        <v>0</v>
      </c>
    </row>
    <row r="955" spans="1:18">
      <c r="A955" s="6"/>
      <c r="B955" t="str">
        <f t="shared" si="71"/>
        <v/>
      </c>
      <c r="C955" t="str">
        <f t="shared" si="72"/>
        <v/>
      </c>
      <c r="E955" t="str">
        <f>IFERROR(VLOOKUP(D955,Cadastro!$B$4:$H$100,2,FALSE),"")</f>
        <v/>
      </c>
      <c r="F955" t="str">
        <f>IFERROR(VLOOKUP(D955,Cadastro!$B$4:$H$100,3,FALSE),"")</f>
        <v/>
      </c>
      <c r="J955" s="7"/>
      <c r="K955" s="7"/>
      <c r="L955" s="7"/>
      <c r="M955" s="7"/>
      <c r="N955" s="7"/>
      <c r="O955" s="7"/>
      <c r="P955" s="8">
        <f t="shared" si="73"/>
        <v>0</v>
      </c>
      <c r="Q955" s="8">
        <f t="shared" si="74"/>
        <v>0</v>
      </c>
      <c r="R955" s="8">
        <f t="shared" si="75"/>
        <v>0</v>
      </c>
    </row>
    <row r="956" spans="1:18">
      <c r="A956" s="6"/>
      <c r="B956" t="str">
        <f t="shared" si="71"/>
        <v/>
      </c>
      <c r="C956" t="str">
        <f t="shared" si="72"/>
        <v/>
      </c>
      <c r="E956" t="str">
        <f>IFERROR(VLOOKUP(D956,Cadastro!$B$4:$H$100,2,FALSE),"")</f>
        <v/>
      </c>
      <c r="F956" t="str">
        <f>IFERROR(VLOOKUP(D956,Cadastro!$B$4:$H$100,3,FALSE),"")</f>
        <v/>
      </c>
      <c r="J956" s="7"/>
      <c r="K956" s="7"/>
      <c r="L956" s="7"/>
      <c r="M956" s="7"/>
      <c r="N956" s="7"/>
      <c r="O956" s="7"/>
      <c r="P956" s="8">
        <f t="shared" si="73"/>
        <v>0</v>
      </c>
      <c r="Q956" s="8">
        <f t="shared" si="74"/>
        <v>0</v>
      </c>
      <c r="R956" s="8">
        <f t="shared" si="75"/>
        <v>0</v>
      </c>
    </row>
    <row r="957" spans="1:18">
      <c r="A957" s="6"/>
      <c r="B957" t="str">
        <f t="shared" si="71"/>
        <v/>
      </c>
      <c r="C957" t="str">
        <f t="shared" si="72"/>
        <v/>
      </c>
      <c r="E957" t="str">
        <f>IFERROR(VLOOKUP(D957,Cadastro!$B$4:$H$100,2,FALSE),"")</f>
        <v/>
      </c>
      <c r="F957" t="str">
        <f>IFERROR(VLOOKUP(D957,Cadastro!$B$4:$H$100,3,FALSE),"")</f>
        <v/>
      </c>
      <c r="J957" s="7"/>
      <c r="K957" s="7"/>
      <c r="L957" s="7"/>
      <c r="M957" s="7"/>
      <c r="N957" s="7"/>
      <c r="O957" s="7"/>
      <c r="P957" s="8">
        <f t="shared" si="73"/>
        <v>0</v>
      </c>
      <c r="Q957" s="8">
        <f t="shared" si="74"/>
        <v>0</v>
      </c>
      <c r="R957" s="8">
        <f t="shared" si="75"/>
        <v>0</v>
      </c>
    </row>
    <row r="958" spans="1:18">
      <c r="A958" s="6"/>
      <c r="B958" t="str">
        <f t="shared" si="71"/>
        <v/>
      </c>
      <c r="C958" t="str">
        <f t="shared" si="72"/>
        <v/>
      </c>
      <c r="E958" t="str">
        <f>IFERROR(VLOOKUP(D958,Cadastro!$B$4:$H$100,2,FALSE),"")</f>
        <v/>
      </c>
      <c r="F958" t="str">
        <f>IFERROR(VLOOKUP(D958,Cadastro!$B$4:$H$100,3,FALSE),"")</f>
        <v/>
      </c>
      <c r="J958" s="7"/>
      <c r="K958" s="7"/>
      <c r="L958" s="7"/>
      <c r="M958" s="7"/>
      <c r="N958" s="7"/>
      <c r="O958" s="7"/>
      <c r="P958" s="8">
        <f t="shared" si="73"/>
        <v>0</v>
      </c>
      <c r="Q958" s="8">
        <f t="shared" si="74"/>
        <v>0</v>
      </c>
      <c r="R958" s="8">
        <f t="shared" si="75"/>
        <v>0</v>
      </c>
    </row>
    <row r="959" spans="1:18">
      <c r="A959" s="6"/>
      <c r="B959" t="str">
        <f t="shared" si="71"/>
        <v/>
      </c>
      <c r="C959" t="str">
        <f t="shared" si="72"/>
        <v/>
      </c>
      <c r="E959" t="str">
        <f>IFERROR(VLOOKUP(D959,Cadastro!$B$4:$H$100,2,FALSE),"")</f>
        <v/>
      </c>
      <c r="F959" t="str">
        <f>IFERROR(VLOOKUP(D959,Cadastro!$B$4:$H$100,3,FALSE),"")</f>
        <v/>
      </c>
      <c r="J959" s="7"/>
      <c r="K959" s="7"/>
      <c r="L959" s="7"/>
      <c r="M959" s="7"/>
      <c r="N959" s="7"/>
      <c r="O959" s="7"/>
      <c r="P959" s="8">
        <f t="shared" si="73"/>
        <v>0</v>
      </c>
      <c r="Q959" s="8">
        <f t="shared" si="74"/>
        <v>0</v>
      </c>
      <c r="R959" s="8">
        <f t="shared" si="75"/>
        <v>0</v>
      </c>
    </row>
    <row r="960" spans="1:18">
      <c r="A960" s="6"/>
      <c r="B960" t="str">
        <f t="shared" si="71"/>
        <v/>
      </c>
      <c r="C960" t="str">
        <f t="shared" si="72"/>
        <v/>
      </c>
      <c r="E960" t="str">
        <f>IFERROR(VLOOKUP(D960,Cadastro!$B$4:$H$100,2,FALSE),"")</f>
        <v/>
      </c>
      <c r="F960" t="str">
        <f>IFERROR(VLOOKUP(D960,Cadastro!$B$4:$H$100,3,FALSE),"")</f>
        <v/>
      </c>
      <c r="J960" s="7"/>
      <c r="K960" s="7"/>
      <c r="L960" s="7"/>
      <c r="M960" s="7"/>
      <c r="N960" s="7"/>
      <c r="O960" s="7"/>
      <c r="P960" s="8">
        <f t="shared" si="73"/>
        <v>0</v>
      </c>
      <c r="Q960" s="8">
        <f t="shared" si="74"/>
        <v>0</v>
      </c>
      <c r="R960" s="8">
        <f t="shared" si="75"/>
        <v>0</v>
      </c>
    </row>
    <row r="961" spans="1:18">
      <c r="A961" s="6"/>
      <c r="B961" t="str">
        <f t="shared" si="71"/>
        <v/>
      </c>
      <c r="C961" t="str">
        <f t="shared" si="72"/>
        <v/>
      </c>
      <c r="E961" t="str">
        <f>IFERROR(VLOOKUP(D961,Cadastro!$B$4:$H$100,2,FALSE),"")</f>
        <v/>
      </c>
      <c r="F961" t="str">
        <f>IFERROR(VLOOKUP(D961,Cadastro!$B$4:$H$100,3,FALSE),"")</f>
        <v/>
      </c>
      <c r="J961" s="7"/>
      <c r="K961" s="7"/>
      <c r="L961" s="7"/>
      <c r="M961" s="7"/>
      <c r="N961" s="7"/>
      <c r="O961" s="7"/>
      <c r="P961" s="8">
        <f t="shared" si="73"/>
        <v>0</v>
      </c>
      <c r="Q961" s="8">
        <f t="shared" si="74"/>
        <v>0</v>
      </c>
      <c r="R961" s="8">
        <f t="shared" si="75"/>
        <v>0</v>
      </c>
    </row>
    <row r="962" spans="1:18">
      <c r="A962" s="6"/>
      <c r="B962" t="str">
        <f t="shared" si="71"/>
        <v/>
      </c>
      <c r="C962" t="str">
        <f t="shared" si="72"/>
        <v/>
      </c>
      <c r="E962" t="str">
        <f>IFERROR(VLOOKUP(D962,Cadastro!$B$4:$H$100,2,FALSE),"")</f>
        <v/>
      </c>
      <c r="F962" t="str">
        <f>IFERROR(VLOOKUP(D962,Cadastro!$B$4:$H$100,3,FALSE),"")</f>
        <v/>
      </c>
      <c r="J962" s="7"/>
      <c r="K962" s="7"/>
      <c r="L962" s="7"/>
      <c r="M962" s="7"/>
      <c r="N962" s="7"/>
      <c r="O962" s="7"/>
      <c r="P962" s="8">
        <f t="shared" si="73"/>
        <v>0</v>
      </c>
      <c r="Q962" s="8">
        <f t="shared" si="74"/>
        <v>0</v>
      </c>
      <c r="R962" s="8">
        <f t="shared" si="75"/>
        <v>0</v>
      </c>
    </row>
    <row r="963" spans="1:18">
      <c r="A963" s="6"/>
      <c r="B963" t="str">
        <f t="shared" si="71"/>
        <v/>
      </c>
      <c r="C963" t="str">
        <f t="shared" si="72"/>
        <v/>
      </c>
      <c r="E963" t="str">
        <f>IFERROR(VLOOKUP(D963,Cadastro!$B$4:$H$100,2,FALSE),"")</f>
        <v/>
      </c>
      <c r="F963" t="str">
        <f>IFERROR(VLOOKUP(D963,Cadastro!$B$4:$H$100,3,FALSE),"")</f>
        <v/>
      </c>
      <c r="J963" s="7"/>
      <c r="K963" s="7"/>
      <c r="L963" s="7"/>
      <c r="M963" s="7"/>
      <c r="N963" s="7"/>
      <c r="O963" s="7"/>
      <c r="P963" s="8">
        <f t="shared" si="73"/>
        <v>0</v>
      </c>
      <c r="Q963" s="8">
        <f t="shared" si="74"/>
        <v>0</v>
      </c>
      <c r="R963" s="8">
        <f t="shared" si="75"/>
        <v>0</v>
      </c>
    </row>
    <row r="964" spans="1:18">
      <c r="A964" s="6"/>
      <c r="B964" t="str">
        <f t="shared" ref="B964:B1027" si="76">IF(A964="","",YEAR(A964))</f>
        <v/>
      </c>
      <c r="C964" t="str">
        <f t="shared" ref="C964:C1003" si="77">IF(A964="","",TEXT(A964,"mmmm"))</f>
        <v/>
      </c>
      <c r="E964" t="str">
        <f>IFERROR(VLOOKUP(D964,Cadastro!$B$4:$H$100,2,FALSE),"")</f>
        <v/>
      </c>
      <c r="F964" t="str">
        <f>IFERROR(VLOOKUP(D964,Cadastro!$B$4:$H$100,3,FALSE),"")</f>
        <v/>
      </c>
      <c r="J964" s="7"/>
      <c r="K964" s="7"/>
      <c r="L964" s="7"/>
      <c r="M964" s="7"/>
      <c r="N964" s="7"/>
      <c r="O964" s="7"/>
      <c r="P964" s="8">
        <f t="shared" ref="P964:P1027" si="78">IF(OR(J964="",K964=""),0,(K964-J964)*24)+IF(OR(L964="",M964=""),0,(M964-L964)*24)+IF(OR(N964="",O964=""),0,(O964-N964)*24)</f>
        <v>0</v>
      </c>
      <c r="Q964" s="8">
        <f t="shared" ref="Q964:Q1027" si="79">IF(OR(I964="Prática",I964="Teórico-prática"),P964,0)</f>
        <v>0</v>
      </c>
      <c r="R964" s="8">
        <f t="shared" ref="R964:R1003" si="80">IF(OR(I964="Teórica",I964="Teórico-prática"),P964,0)</f>
        <v>0</v>
      </c>
    </row>
    <row r="965" spans="1:18">
      <c r="A965" s="6"/>
      <c r="B965" t="str">
        <f t="shared" si="76"/>
        <v/>
      </c>
      <c r="C965" t="str">
        <f t="shared" si="77"/>
        <v/>
      </c>
      <c r="E965" t="str">
        <f>IFERROR(VLOOKUP(D965,Cadastro!$B$4:$H$100,2,FALSE),"")</f>
        <v/>
      </c>
      <c r="F965" t="str">
        <f>IFERROR(VLOOKUP(D965,Cadastro!$B$4:$H$100,3,FALSE),"")</f>
        <v/>
      </c>
      <c r="J965" s="7"/>
      <c r="K965" s="7"/>
      <c r="L965" s="7"/>
      <c r="M965" s="7"/>
      <c r="N965" s="7"/>
      <c r="O965" s="7"/>
      <c r="P965" s="8">
        <f t="shared" si="78"/>
        <v>0</v>
      </c>
      <c r="Q965" s="8">
        <f t="shared" si="79"/>
        <v>0</v>
      </c>
      <c r="R965" s="8">
        <f t="shared" si="80"/>
        <v>0</v>
      </c>
    </row>
    <row r="966" spans="1:18">
      <c r="A966" s="6"/>
      <c r="B966" t="str">
        <f t="shared" si="76"/>
        <v/>
      </c>
      <c r="C966" t="str">
        <f t="shared" si="77"/>
        <v/>
      </c>
      <c r="E966" t="str">
        <f>IFERROR(VLOOKUP(D966,Cadastro!$B$4:$H$100,2,FALSE),"")</f>
        <v/>
      </c>
      <c r="F966" t="str">
        <f>IFERROR(VLOOKUP(D966,Cadastro!$B$4:$H$100,3,FALSE),"")</f>
        <v/>
      </c>
      <c r="J966" s="7"/>
      <c r="K966" s="7"/>
      <c r="L966" s="7"/>
      <c r="M966" s="7"/>
      <c r="N966" s="7"/>
      <c r="O966" s="7"/>
      <c r="P966" s="8">
        <f t="shared" si="78"/>
        <v>0</v>
      </c>
      <c r="Q966" s="8">
        <f t="shared" si="79"/>
        <v>0</v>
      </c>
      <c r="R966" s="8">
        <f t="shared" si="80"/>
        <v>0</v>
      </c>
    </row>
    <row r="967" spans="1:18">
      <c r="A967" s="6"/>
      <c r="B967" t="str">
        <f t="shared" si="76"/>
        <v/>
      </c>
      <c r="C967" t="str">
        <f t="shared" si="77"/>
        <v/>
      </c>
      <c r="E967" t="str">
        <f>IFERROR(VLOOKUP(D967,Cadastro!$B$4:$H$100,2,FALSE),"")</f>
        <v/>
      </c>
      <c r="F967" t="str">
        <f>IFERROR(VLOOKUP(D967,Cadastro!$B$4:$H$100,3,FALSE),"")</f>
        <v/>
      </c>
      <c r="J967" s="7"/>
      <c r="K967" s="7"/>
      <c r="L967" s="7"/>
      <c r="M967" s="7"/>
      <c r="N967" s="7"/>
      <c r="O967" s="7"/>
      <c r="P967" s="8">
        <f t="shared" si="78"/>
        <v>0</v>
      </c>
      <c r="Q967" s="8">
        <f t="shared" si="79"/>
        <v>0</v>
      </c>
      <c r="R967" s="8">
        <f t="shared" si="80"/>
        <v>0</v>
      </c>
    </row>
    <row r="968" spans="1:18">
      <c r="A968" s="6"/>
      <c r="B968" t="str">
        <f t="shared" si="76"/>
        <v/>
      </c>
      <c r="C968" t="str">
        <f t="shared" si="77"/>
        <v/>
      </c>
      <c r="E968" t="str">
        <f>IFERROR(VLOOKUP(D968,Cadastro!$B$4:$H$100,2,FALSE),"")</f>
        <v/>
      </c>
      <c r="F968" t="str">
        <f>IFERROR(VLOOKUP(D968,Cadastro!$B$4:$H$100,3,FALSE),"")</f>
        <v/>
      </c>
      <c r="J968" s="7"/>
      <c r="K968" s="7"/>
      <c r="L968" s="7"/>
      <c r="M968" s="7"/>
      <c r="N968" s="7"/>
      <c r="O968" s="7"/>
      <c r="P968" s="8">
        <f t="shared" si="78"/>
        <v>0</v>
      </c>
      <c r="Q968" s="8">
        <f t="shared" si="79"/>
        <v>0</v>
      </c>
      <c r="R968" s="8">
        <f t="shared" si="80"/>
        <v>0</v>
      </c>
    </row>
    <row r="969" spans="1:18">
      <c r="A969" s="6"/>
      <c r="B969" t="str">
        <f t="shared" si="76"/>
        <v/>
      </c>
      <c r="C969" t="str">
        <f t="shared" si="77"/>
        <v/>
      </c>
      <c r="E969" t="str">
        <f>IFERROR(VLOOKUP(D969,Cadastro!$B$4:$H$100,2,FALSE),"")</f>
        <v/>
      </c>
      <c r="F969" t="str">
        <f>IFERROR(VLOOKUP(D969,Cadastro!$B$4:$H$100,3,FALSE),"")</f>
        <v/>
      </c>
      <c r="J969" s="7"/>
      <c r="K969" s="7"/>
      <c r="L969" s="7"/>
      <c r="M969" s="7"/>
      <c r="N969" s="7"/>
      <c r="O969" s="7"/>
      <c r="P969" s="8">
        <f t="shared" si="78"/>
        <v>0</v>
      </c>
      <c r="Q969" s="8">
        <f t="shared" si="79"/>
        <v>0</v>
      </c>
      <c r="R969" s="8">
        <f t="shared" si="80"/>
        <v>0</v>
      </c>
    </row>
    <row r="970" spans="1:18">
      <c r="A970" s="6"/>
      <c r="B970" t="str">
        <f t="shared" si="76"/>
        <v/>
      </c>
      <c r="C970" t="str">
        <f t="shared" si="77"/>
        <v/>
      </c>
      <c r="E970" t="str">
        <f>IFERROR(VLOOKUP(D970,Cadastro!$B$4:$H$100,2,FALSE),"")</f>
        <v/>
      </c>
      <c r="F970" t="str">
        <f>IFERROR(VLOOKUP(D970,Cadastro!$B$4:$H$100,3,FALSE),"")</f>
        <v/>
      </c>
      <c r="J970" s="7"/>
      <c r="K970" s="7"/>
      <c r="L970" s="7"/>
      <c r="M970" s="7"/>
      <c r="N970" s="7"/>
      <c r="O970" s="7"/>
      <c r="P970" s="8">
        <f t="shared" si="78"/>
        <v>0</v>
      </c>
      <c r="Q970" s="8">
        <f t="shared" si="79"/>
        <v>0</v>
      </c>
      <c r="R970" s="8">
        <f t="shared" si="80"/>
        <v>0</v>
      </c>
    </row>
    <row r="971" spans="1:18">
      <c r="A971" s="6"/>
      <c r="B971" t="str">
        <f t="shared" si="76"/>
        <v/>
      </c>
      <c r="C971" t="str">
        <f t="shared" si="77"/>
        <v/>
      </c>
      <c r="E971" t="str">
        <f>IFERROR(VLOOKUP(D971,Cadastro!$B$4:$H$100,2,FALSE),"")</f>
        <v/>
      </c>
      <c r="F971" t="str">
        <f>IFERROR(VLOOKUP(D971,Cadastro!$B$4:$H$100,3,FALSE),"")</f>
        <v/>
      </c>
      <c r="J971" s="7"/>
      <c r="K971" s="7"/>
      <c r="L971" s="7"/>
      <c r="M971" s="7"/>
      <c r="N971" s="7"/>
      <c r="O971" s="7"/>
      <c r="P971" s="8">
        <f t="shared" si="78"/>
        <v>0</v>
      </c>
      <c r="Q971" s="8">
        <f t="shared" si="79"/>
        <v>0</v>
      </c>
      <c r="R971" s="8">
        <f t="shared" si="80"/>
        <v>0</v>
      </c>
    </row>
    <row r="972" spans="1:18">
      <c r="A972" s="6"/>
      <c r="B972" t="str">
        <f t="shared" si="76"/>
        <v/>
      </c>
      <c r="C972" t="str">
        <f t="shared" si="77"/>
        <v/>
      </c>
      <c r="E972" t="str">
        <f>IFERROR(VLOOKUP(D972,Cadastro!$B$4:$H$100,2,FALSE),"")</f>
        <v/>
      </c>
      <c r="F972" t="str">
        <f>IFERROR(VLOOKUP(D972,Cadastro!$B$4:$H$100,3,FALSE),"")</f>
        <v/>
      </c>
      <c r="J972" s="7"/>
      <c r="K972" s="7"/>
      <c r="L972" s="7"/>
      <c r="M972" s="7"/>
      <c r="N972" s="7"/>
      <c r="O972" s="7"/>
      <c r="P972" s="8">
        <f t="shared" si="78"/>
        <v>0</v>
      </c>
      <c r="Q972" s="8">
        <f t="shared" si="79"/>
        <v>0</v>
      </c>
      <c r="R972" s="8">
        <f t="shared" si="80"/>
        <v>0</v>
      </c>
    </row>
    <row r="973" spans="1:18">
      <c r="A973" s="6"/>
      <c r="B973" t="str">
        <f t="shared" si="76"/>
        <v/>
      </c>
      <c r="C973" t="str">
        <f t="shared" si="77"/>
        <v/>
      </c>
      <c r="E973" t="str">
        <f>IFERROR(VLOOKUP(D973,Cadastro!$B$4:$H$100,2,FALSE),"")</f>
        <v/>
      </c>
      <c r="F973" t="str">
        <f>IFERROR(VLOOKUP(D973,Cadastro!$B$4:$H$100,3,FALSE),"")</f>
        <v/>
      </c>
      <c r="J973" s="7"/>
      <c r="K973" s="7"/>
      <c r="L973" s="7"/>
      <c r="M973" s="7"/>
      <c r="N973" s="7"/>
      <c r="O973" s="7"/>
      <c r="P973" s="8">
        <f t="shared" si="78"/>
        <v>0</v>
      </c>
      <c r="Q973" s="8">
        <f t="shared" si="79"/>
        <v>0</v>
      </c>
      <c r="R973" s="8">
        <f t="shared" si="80"/>
        <v>0</v>
      </c>
    </row>
    <row r="974" spans="1:18">
      <c r="A974" s="6"/>
      <c r="B974" t="str">
        <f t="shared" si="76"/>
        <v/>
      </c>
      <c r="C974" t="str">
        <f t="shared" si="77"/>
        <v/>
      </c>
      <c r="E974" t="str">
        <f>IFERROR(VLOOKUP(D974,Cadastro!$B$4:$H$100,2,FALSE),"")</f>
        <v/>
      </c>
      <c r="F974" t="str">
        <f>IFERROR(VLOOKUP(D974,Cadastro!$B$4:$H$100,3,FALSE),"")</f>
        <v/>
      </c>
      <c r="J974" s="7"/>
      <c r="K974" s="7"/>
      <c r="L974" s="7"/>
      <c r="M974" s="7"/>
      <c r="N974" s="7"/>
      <c r="O974" s="7"/>
      <c r="P974" s="8">
        <f t="shared" si="78"/>
        <v>0</v>
      </c>
      <c r="Q974" s="8">
        <f t="shared" si="79"/>
        <v>0</v>
      </c>
      <c r="R974" s="8">
        <f t="shared" si="80"/>
        <v>0</v>
      </c>
    </row>
    <row r="975" spans="1:18">
      <c r="A975" s="6"/>
      <c r="B975" t="str">
        <f t="shared" si="76"/>
        <v/>
      </c>
      <c r="C975" t="str">
        <f t="shared" si="77"/>
        <v/>
      </c>
      <c r="E975" t="str">
        <f>IFERROR(VLOOKUP(D975,Cadastro!$B$4:$H$100,2,FALSE),"")</f>
        <v/>
      </c>
      <c r="F975" t="str">
        <f>IFERROR(VLOOKUP(D975,Cadastro!$B$4:$H$100,3,FALSE),"")</f>
        <v/>
      </c>
      <c r="J975" s="7"/>
      <c r="K975" s="7"/>
      <c r="L975" s="7"/>
      <c r="M975" s="7"/>
      <c r="N975" s="7"/>
      <c r="O975" s="7"/>
      <c r="P975" s="8">
        <f t="shared" si="78"/>
        <v>0</v>
      </c>
      <c r="Q975" s="8">
        <f t="shared" si="79"/>
        <v>0</v>
      </c>
      <c r="R975" s="8">
        <f t="shared" si="80"/>
        <v>0</v>
      </c>
    </row>
    <row r="976" spans="1:18">
      <c r="A976" s="6"/>
      <c r="B976" t="str">
        <f t="shared" si="76"/>
        <v/>
      </c>
      <c r="C976" t="str">
        <f t="shared" si="77"/>
        <v/>
      </c>
      <c r="E976" t="str">
        <f>IFERROR(VLOOKUP(D976,Cadastro!$B$4:$H$100,2,FALSE),"")</f>
        <v/>
      </c>
      <c r="F976" t="str">
        <f>IFERROR(VLOOKUP(D976,Cadastro!$B$4:$H$100,3,FALSE),"")</f>
        <v/>
      </c>
      <c r="J976" s="7"/>
      <c r="K976" s="7"/>
      <c r="L976" s="7"/>
      <c r="M976" s="7"/>
      <c r="N976" s="7"/>
      <c r="O976" s="7"/>
      <c r="P976" s="8">
        <f t="shared" si="78"/>
        <v>0</v>
      </c>
      <c r="Q976" s="8">
        <f t="shared" si="79"/>
        <v>0</v>
      </c>
      <c r="R976" s="8">
        <f t="shared" si="80"/>
        <v>0</v>
      </c>
    </row>
    <row r="977" spans="1:18">
      <c r="A977" s="6"/>
      <c r="B977" t="str">
        <f t="shared" si="76"/>
        <v/>
      </c>
      <c r="C977" t="str">
        <f t="shared" si="77"/>
        <v/>
      </c>
      <c r="E977" t="str">
        <f>IFERROR(VLOOKUP(D977,Cadastro!$B$4:$H$100,2,FALSE),"")</f>
        <v/>
      </c>
      <c r="F977" t="str">
        <f>IFERROR(VLOOKUP(D977,Cadastro!$B$4:$H$100,3,FALSE),"")</f>
        <v/>
      </c>
      <c r="J977" s="7"/>
      <c r="K977" s="7"/>
      <c r="L977" s="7"/>
      <c r="M977" s="7"/>
      <c r="N977" s="7"/>
      <c r="O977" s="7"/>
      <c r="P977" s="8">
        <f t="shared" si="78"/>
        <v>0</v>
      </c>
      <c r="Q977" s="8">
        <f t="shared" si="79"/>
        <v>0</v>
      </c>
      <c r="R977" s="8">
        <f t="shared" si="80"/>
        <v>0</v>
      </c>
    </row>
    <row r="978" spans="1:18">
      <c r="A978" s="6"/>
      <c r="B978" t="str">
        <f t="shared" si="76"/>
        <v/>
      </c>
      <c r="C978" t="str">
        <f t="shared" si="77"/>
        <v/>
      </c>
      <c r="E978" t="str">
        <f>IFERROR(VLOOKUP(D978,Cadastro!$B$4:$H$100,2,FALSE),"")</f>
        <v/>
      </c>
      <c r="F978" t="str">
        <f>IFERROR(VLOOKUP(D978,Cadastro!$B$4:$H$100,3,FALSE),"")</f>
        <v/>
      </c>
      <c r="J978" s="7"/>
      <c r="K978" s="7"/>
      <c r="L978" s="7"/>
      <c r="M978" s="7"/>
      <c r="N978" s="7"/>
      <c r="O978" s="7"/>
      <c r="P978" s="8">
        <f t="shared" si="78"/>
        <v>0</v>
      </c>
      <c r="Q978" s="8">
        <f t="shared" si="79"/>
        <v>0</v>
      </c>
      <c r="R978" s="8">
        <f t="shared" si="80"/>
        <v>0</v>
      </c>
    </row>
    <row r="979" spans="1:18">
      <c r="A979" s="6"/>
      <c r="B979" t="str">
        <f t="shared" si="76"/>
        <v/>
      </c>
      <c r="C979" t="str">
        <f t="shared" si="77"/>
        <v/>
      </c>
      <c r="E979" t="str">
        <f>IFERROR(VLOOKUP(D979,Cadastro!$B$4:$H$100,2,FALSE),"")</f>
        <v/>
      </c>
      <c r="F979" t="str">
        <f>IFERROR(VLOOKUP(D979,Cadastro!$B$4:$H$100,3,FALSE),"")</f>
        <v/>
      </c>
      <c r="J979" s="7"/>
      <c r="K979" s="7"/>
      <c r="L979" s="7"/>
      <c r="M979" s="7"/>
      <c r="N979" s="7"/>
      <c r="O979" s="7"/>
      <c r="P979" s="8">
        <f t="shared" si="78"/>
        <v>0</v>
      </c>
      <c r="Q979" s="8">
        <f t="shared" si="79"/>
        <v>0</v>
      </c>
      <c r="R979" s="8">
        <f t="shared" si="80"/>
        <v>0</v>
      </c>
    </row>
    <row r="980" spans="1:18">
      <c r="A980" s="6"/>
      <c r="B980" t="str">
        <f t="shared" si="76"/>
        <v/>
      </c>
      <c r="C980" t="str">
        <f t="shared" si="77"/>
        <v/>
      </c>
      <c r="E980" t="str">
        <f>IFERROR(VLOOKUP(D980,Cadastro!$B$4:$H$100,2,FALSE),"")</f>
        <v/>
      </c>
      <c r="F980" t="str">
        <f>IFERROR(VLOOKUP(D980,Cadastro!$B$4:$H$100,3,FALSE),"")</f>
        <v/>
      </c>
      <c r="J980" s="7"/>
      <c r="K980" s="7"/>
      <c r="L980" s="7"/>
      <c r="M980" s="7"/>
      <c r="N980" s="7"/>
      <c r="O980" s="7"/>
      <c r="P980" s="8">
        <f t="shared" si="78"/>
        <v>0</v>
      </c>
      <c r="Q980" s="8">
        <f t="shared" si="79"/>
        <v>0</v>
      </c>
      <c r="R980" s="8">
        <f t="shared" si="80"/>
        <v>0</v>
      </c>
    </row>
    <row r="981" spans="1:18">
      <c r="A981" s="6"/>
      <c r="B981" t="str">
        <f t="shared" si="76"/>
        <v/>
      </c>
      <c r="C981" t="str">
        <f t="shared" si="77"/>
        <v/>
      </c>
      <c r="E981" t="str">
        <f>IFERROR(VLOOKUP(D981,Cadastro!$B$4:$H$100,2,FALSE),"")</f>
        <v/>
      </c>
      <c r="F981" t="str">
        <f>IFERROR(VLOOKUP(D981,Cadastro!$B$4:$H$100,3,FALSE),"")</f>
        <v/>
      </c>
      <c r="J981" s="7"/>
      <c r="K981" s="7"/>
      <c r="L981" s="7"/>
      <c r="M981" s="7"/>
      <c r="N981" s="7"/>
      <c r="O981" s="7"/>
      <c r="P981" s="8">
        <f t="shared" si="78"/>
        <v>0</v>
      </c>
      <c r="Q981" s="8">
        <f t="shared" si="79"/>
        <v>0</v>
      </c>
      <c r="R981" s="8">
        <f t="shared" si="80"/>
        <v>0</v>
      </c>
    </row>
    <row r="982" spans="1:18">
      <c r="A982" s="6"/>
      <c r="B982" t="str">
        <f t="shared" si="76"/>
        <v/>
      </c>
      <c r="C982" t="str">
        <f t="shared" si="77"/>
        <v/>
      </c>
      <c r="E982" t="str">
        <f>IFERROR(VLOOKUP(D982,Cadastro!$B$4:$H$100,2,FALSE),"")</f>
        <v/>
      </c>
      <c r="F982" t="str">
        <f>IFERROR(VLOOKUP(D982,Cadastro!$B$4:$H$100,3,FALSE),"")</f>
        <v/>
      </c>
      <c r="J982" s="7"/>
      <c r="K982" s="7"/>
      <c r="L982" s="7"/>
      <c r="M982" s="7"/>
      <c r="N982" s="7"/>
      <c r="O982" s="7"/>
      <c r="P982" s="8">
        <f t="shared" si="78"/>
        <v>0</v>
      </c>
      <c r="Q982" s="8">
        <f t="shared" si="79"/>
        <v>0</v>
      </c>
      <c r="R982" s="8">
        <f t="shared" si="80"/>
        <v>0</v>
      </c>
    </row>
    <row r="983" spans="1:18">
      <c r="A983" s="6"/>
      <c r="B983" t="str">
        <f t="shared" si="76"/>
        <v/>
      </c>
      <c r="C983" t="str">
        <f t="shared" si="77"/>
        <v/>
      </c>
      <c r="E983" t="str">
        <f>IFERROR(VLOOKUP(D983,Cadastro!$B$4:$H$100,2,FALSE),"")</f>
        <v/>
      </c>
      <c r="F983" t="str">
        <f>IFERROR(VLOOKUP(D983,Cadastro!$B$4:$H$100,3,FALSE),"")</f>
        <v/>
      </c>
      <c r="J983" s="7"/>
      <c r="K983" s="7"/>
      <c r="L983" s="7"/>
      <c r="M983" s="7"/>
      <c r="N983" s="7"/>
      <c r="O983" s="7"/>
      <c r="P983" s="8">
        <f t="shared" si="78"/>
        <v>0</v>
      </c>
      <c r="Q983" s="8">
        <f t="shared" si="79"/>
        <v>0</v>
      </c>
      <c r="R983" s="8">
        <f t="shared" si="80"/>
        <v>0</v>
      </c>
    </row>
    <row r="984" spans="1:18">
      <c r="A984" s="6"/>
      <c r="B984" t="str">
        <f t="shared" si="76"/>
        <v/>
      </c>
      <c r="C984" t="str">
        <f t="shared" si="77"/>
        <v/>
      </c>
      <c r="E984" t="str">
        <f>IFERROR(VLOOKUP(D984,Cadastro!$B$4:$H$100,2,FALSE),"")</f>
        <v/>
      </c>
      <c r="F984" t="str">
        <f>IFERROR(VLOOKUP(D984,Cadastro!$B$4:$H$100,3,FALSE),"")</f>
        <v/>
      </c>
      <c r="J984" s="7"/>
      <c r="K984" s="7"/>
      <c r="L984" s="7"/>
      <c r="M984" s="7"/>
      <c r="N984" s="7"/>
      <c r="O984" s="7"/>
      <c r="P984" s="8">
        <f t="shared" si="78"/>
        <v>0</v>
      </c>
      <c r="Q984" s="8">
        <f t="shared" si="79"/>
        <v>0</v>
      </c>
      <c r="R984" s="8">
        <f t="shared" si="80"/>
        <v>0</v>
      </c>
    </row>
    <row r="985" spans="1:18">
      <c r="A985" s="6"/>
      <c r="B985" t="str">
        <f t="shared" si="76"/>
        <v/>
      </c>
      <c r="C985" t="str">
        <f t="shared" si="77"/>
        <v/>
      </c>
      <c r="E985" t="str">
        <f>IFERROR(VLOOKUP(D985,Cadastro!$B$4:$H$100,2,FALSE),"")</f>
        <v/>
      </c>
      <c r="F985" t="str">
        <f>IFERROR(VLOOKUP(D985,Cadastro!$B$4:$H$100,3,FALSE),"")</f>
        <v/>
      </c>
      <c r="J985" s="7"/>
      <c r="K985" s="7"/>
      <c r="L985" s="7"/>
      <c r="M985" s="7"/>
      <c r="N985" s="7"/>
      <c r="O985" s="7"/>
      <c r="P985" s="8">
        <f t="shared" si="78"/>
        <v>0</v>
      </c>
      <c r="Q985" s="8">
        <f t="shared" si="79"/>
        <v>0</v>
      </c>
      <c r="R985" s="8">
        <f t="shared" si="80"/>
        <v>0</v>
      </c>
    </row>
    <row r="986" spans="1:18">
      <c r="A986" s="6"/>
      <c r="B986" t="str">
        <f t="shared" si="76"/>
        <v/>
      </c>
      <c r="C986" t="str">
        <f t="shared" si="77"/>
        <v/>
      </c>
      <c r="E986" t="str">
        <f>IFERROR(VLOOKUP(D986,Cadastro!$B$4:$H$100,2,FALSE),"")</f>
        <v/>
      </c>
      <c r="F986" t="str">
        <f>IFERROR(VLOOKUP(D986,Cadastro!$B$4:$H$100,3,FALSE),"")</f>
        <v/>
      </c>
      <c r="J986" s="7"/>
      <c r="K986" s="7"/>
      <c r="L986" s="7"/>
      <c r="M986" s="7"/>
      <c r="N986" s="7"/>
      <c r="O986" s="7"/>
      <c r="P986" s="8">
        <f t="shared" si="78"/>
        <v>0</v>
      </c>
      <c r="Q986" s="8">
        <f t="shared" si="79"/>
        <v>0</v>
      </c>
      <c r="R986" s="8">
        <f t="shared" si="80"/>
        <v>0</v>
      </c>
    </row>
    <row r="987" spans="1:18">
      <c r="A987" s="6"/>
      <c r="B987" t="str">
        <f t="shared" si="76"/>
        <v/>
      </c>
      <c r="C987" t="str">
        <f t="shared" si="77"/>
        <v/>
      </c>
      <c r="E987" t="str">
        <f>IFERROR(VLOOKUP(D987,Cadastro!$B$4:$H$100,2,FALSE),"")</f>
        <v/>
      </c>
      <c r="F987" t="str">
        <f>IFERROR(VLOOKUP(D987,Cadastro!$B$4:$H$100,3,FALSE),"")</f>
        <v/>
      </c>
      <c r="J987" s="7"/>
      <c r="K987" s="7"/>
      <c r="L987" s="7"/>
      <c r="M987" s="7"/>
      <c r="N987" s="7"/>
      <c r="O987" s="7"/>
      <c r="P987" s="8">
        <f t="shared" si="78"/>
        <v>0</v>
      </c>
      <c r="Q987" s="8">
        <f t="shared" si="79"/>
        <v>0</v>
      </c>
      <c r="R987" s="8">
        <f t="shared" si="80"/>
        <v>0</v>
      </c>
    </row>
    <row r="988" spans="1:18">
      <c r="A988" s="6"/>
      <c r="B988" t="str">
        <f t="shared" si="76"/>
        <v/>
      </c>
      <c r="C988" t="str">
        <f t="shared" si="77"/>
        <v/>
      </c>
      <c r="E988" t="str">
        <f>IFERROR(VLOOKUP(D988,Cadastro!$B$4:$H$100,2,FALSE),"")</f>
        <v/>
      </c>
      <c r="F988" t="str">
        <f>IFERROR(VLOOKUP(D988,Cadastro!$B$4:$H$100,3,FALSE),"")</f>
        <v/>
      </c>
      <c r="J988" s="7"/>
      <c r="K988" s="7"/>
      <c r="L988" s="7"/>
      <c r="M988" s="7"/>
      <c r="N988" s="7"/>
      <c r="O988" s="7"/>
      <c r="P988" s="8">
        <f t="shared" si="78"/>
        <v>0</v>
      </c>
      <c r="Q988" s="8">
        <f t="shared" si="79"/>
        <v>0</v>
      </c>
      <c r="R988" s="8">
        <f t="shared" si="80"/>
        <v>0</v>
      </c>
    </row>
    <row r="989" spans="1:18">
      <c r="A989" s="6"/>
      <c r="B989" t="str">
        <f t="shared" si="76"/>
        <v/>
      </c>
      <c r="C989" t="str">
        <f t="shared" si="77"/>
        <v/>
      </c>
      <c r="E989" t="str">
        <f>IFERROR(VLOOKUP(D989,Cadastro!$B$4:$H$100,2,FALSE),"")</f>
        <v/>
      </c>
      <c r="F989" t="str">
        <f>IFERROR(VLOOKUP(D989,Cadastro!$B$4:$H$100,3,FALSE),"")</f>
        <v/>
      </c>
      <c r="J989" s="7"/>
      <c r="K989" s="7"/>
      <c r="L989" s="7"/>
      <c r="M989" s="7"/>
      <c r="N989" s="7"/>
      <c r="O989" s="7"/>
      <c r="P989" s="8">
        <f t="shared" si="78"/>
        <v>0</v>
      </c>
      <c r="Q989" s="8">
        <f t="shared" si="79"/>
        <v>0</v>
      </c>
      <c r="R989" s="8">
        <f t="shared" si="80"/>
        <v>0</v>
      </c>
    </row>
    <row r="990" spans="1:18">
      <c r="A990" s="6"/>
      <c r="B990" t="str">
        <f t="shared" si="76"/>
        <v/>
      </c>
      <c r="C990" t="str">
        <f t="shared" si="77"/>
        <v/>
      </c>
      <c r="E990" t="str">
        <f>IFERROR(VLOOKUP(D990,Cadastro!$B$4:$H$100,2,FALSE),"")</f>
        <v/>
      </c>
      <c r="F990" t="str">
        <f>IFERROR(VLOOKUP(D990,Cadastro!$B$4:$H$100,3,FALSE),"")</f>
        <v/>
      </c>
      <c r="J990" s="7"/>
      <c r="K990" s="7"/>
      <c r="L990" s="7"/>
      <c r="M990" s="7"/>
      <c r="N990" s="7"/>
      <c r="O990" s="7"/>
      <c r="P990" s="8">
        <f t="shared" si="78"/>
        <v>0</v>
      </c>
      <c r="Q990" s="8">
        <f t="shared" si="79"/>
        <v>0</v>
      </c>
      <c r="R990" s="8">
        <f t="shared" si="80"/>
        <v>0</v>
      </c>
    </row>
    <row r="991" spans="1:18">
      <c r="A991" s="6"/>
      <c r="B991" t="str">
        <f t="shared" si="76"/>
        <v/>
      </c>
      <c r="C991" t="str">
        <f t="shared" si="77"/>
        <v/>
      </c>
      <c r="E991" t="str">
        <f>IFERROR(VLOOKUP(D991,Cadastro!$B$4:$H$100,2,FALSE),"")</f>
        <v/>
      </c>
      <c r="F991" t="str">
        <f>IFERROR(VLOOKUP(D991,Cadastro!$B$4:$H$100,3,FALSE),"")</f>
        <v/>
      </c>
      <c r="J991" s="7"/>
      <c r="K991" s="7"/>
      <c r="L991" s="7"/>
      <c r="M991" s="7"/>
      <c r="N991" s="7"/>
      <c r="O991" s="7"/>
      <c r="P991" s="8">
        <f t="shared" si="78"/>
        <v>0</v>
      </c>
      <c r="Q991" s="8">
        <f t="shared" si="79"/>
        <v>0</v>
      </c>
      <c r="R991" s="8">
        <f t="shared" si="80"/>
        <v>0</v>
      </c>
    </row>
    <row r="992" spans="1:18">
      <c r="A992" s="6"/>
      <c r="B992" t="str">
        <f t="shared" si="76"/>
        <v/>
      </c>
      <c r="C992" t="str">
        <f t="shared" si="77"/>
        <v/>
      </c>
      <c r="E992" t="str">
        <f>IFERROR(VLOOKUP(D992,Cadastro!$B$4:$H$100,2,FALSE),"")</f>
        <v/>
      </c>
      <c r="F992" t="str">
        <f>IFERROR(VLOOKUP(D992,Cadastro!$B$4:$H$100,3,FALSE),"")</f>
        <v/>
      </c>
      <c r="J992" s="7"/>
      <c r="K992" s="7"/>
      <c r="L992" s="7"/>
      <c r="M992" s="7"/>
      <c r="N992" s="7"/>
      <c r="O992" s="7"/>
      <c r="P992" s="8">
        <f t="shared" si="78"/>
        <v>0</v>
      </c>
      <c r="Q992" s="8">
        <f t="shared" si="79"/>
        <v>0</v>
      </c>
      <c r="R992" s="8">
        <f t="shared" si="80"/>
        <v>0</v>
      </c>
    </row>
    <row r="993" spans="1:18">
      <c r="A993" s="6"/>
      <c r="B993" t="str">
        <f t="shared" si="76"/>
        <v/>
      </c>
      <c r="C993" t="str">
        <f t="shared" si="77"/>
        <v/>
      </c>
      <c r="E993" t="str">
        <f>IFERROR(VLOOKUP(D993,Cadastro!$B$4:$H$100,2,FALSE),"")</f>
        <v/>
      </c>
      <c r="F993" t="str">
        <f>IFERROR(VLOOKUP(D993,Cadastro!$B$4:$H$100,3,FALSE),"")</f>
        <v/>
      </c>
      <c r="J993" s="7"/>
      <c r="K993" s="7"/>
      <c r="L993" s="7"/>
      <c r="M993" s="7"/>
      <c r="N993" s="7"/>
      <c r="O993" s="7"/>
      <c r="P993" s="8">
        <f t="shared" si="78"/>
        <v>0</v>
      </c>
      <c r="Q993" s="8">
        <f t="shared" si="79"/>
        <v>0</v>
      </c>
      <c r="R993" s="8">
        <f t="shared" si="80"/>
        <v>0</v>
      </c>
    </row>
    <row r="994" spans="1:18">
      <c r="A994" s="6"/>
      <c r="B994" t="str">
        <f t="shared" si="76"/>
        <v/>
      </c>
      <c r="C994" t="str">
        <f t="shared" si="77"/>
        <v/>
      </c>
      <c r="E994" t="str">
        <f>IFERROR(VLOOKUP(D994,Cadastro!$B$4:$H$100,2,FALSE),"")</f>
        <v/>
      </c>
      <c r="F994" t="str">
        <f>IFERROR(VLOOKUP(D994,Cadastro!$B$4:$H$100,3,FALSE),"")</f>
        <v/>
      </c>
      <c r="J994" s="7"/>
      <c r="K994" s="7"/>
      <c r="L994" s="7"/>
      <c r="M994" s="7"/>
      <c r="N994" s="7"/>
      <c r="O994" s="7"/>
      <c r="P994" s="8">
        <f t="shared" si="78"/>
        <v>0</v>
      </c>
      <c r="Q994" s="8">
        <f t="shared" si="79"/>
        <v>0</v>
      </c>
      <c r="R994" s="8">
        <f t="shared" si="80"/>
        <v>0</v>
      </c>
    </row>
    <row r="995" spans="1:18">
      <c r="A995" s="6"/>
      <c r="B995" t="str">
        <f t="shared" si="76"/>
        <v/>
      </c>
      <c r="C995" t="str">
        <f t="shared" si="77"/>
        <v/>
      </c>
      <c r="E995" t="str">
        <f>IFERROR(VLOOKUP(D995,Cadastro!$B$4:$H$100,2,FALSE),"")</f>
        <v/>
      </c>
      <c r="F995" t="str">
        <f>IFERROR(VLOOKUP(D995,Cadastro!$B$4:$H$100,3,FALSE),"")</f>
        <v/>
      </c>
      <c r="J995" s="7"/>
      <c r="K995" s="7"/>
      <c r="L995" s="7"/>
      <c r="M995" s="7"/>
      <c r="N995" s="7"/>
      <c r="O995" s="7"/>
      <c r="P995" s="8">
        <f t="shared" si="78"/>
        <v>0</v>
      </c>
      <c r="Q995" s="8">
        <f t="shared" si="79"/>
        <v>0</v>
      </c>
      <c r="R995" s="8">
        <f t="shared" si="80"/>
        <v>0</v>
      </c>
    </row>
    <row r="996" spans="1:18">
      <c r="A996" s="6"/>
      <c r="B996" t="str">
        <f t="shared" si="76"/>
        <v/>
      </c>
      <c r="C996" t="str">
        <f t="shared" si="77"/>
        <v/>
      </c>
      <c r="E996" t="str">
        <f>IFERROR(VLOOKUP(D996,Cadastro!$B$4:$H$100,2,FALSE),"")</f>
        <v/>
      </c>
      <c r="F996" t="str">
        <f>IFERROR(VLOOKUP(D996,Cadastro!$B$4:$H$100,3,FALSE),"")</f>
        <v/>
      </c>
      <c r="J996" s="7"/>
      <c r="K996" s="7"/>
      <c r="L996" s="7"/>
      <c r="M996" s="7"/>
      <c r="N996" s="7"/>
      <c r="O996" s="7"/>
      <c r="P996" s="8">
        <f t="shared" si="78"/>
        <v>0</v>
      </c>
      <c r="Q996" s="8">
        <f t="shared" si="79"/>
        <v>0</v>
      </c>
      <c r="R996" s="8">
        <f t="shared" si="80"/>
        <v>0</v>
      </c>
    </row>
    <row r="997" spans="1:18">
      <c r="A997" s="6"/>
      <c r="B997" t="str">
        <f t="shared" si="76"/>
        <v/>
      </c>
      <c r="C997" t="str">
        <f t="shared" si="77"/>
        <v/>
      </c>
      <c r="E997" t="str">
        <f>IFERROR(VLOOKUP(D997,Cadastro!$B$4:$H$100,2,FALSE),"")</f>
        <v/>
      </c>
      <c r="F997" t="str">
        <f>IFERROR(VLOOKUP(D997,Cadastro!$B$4:$H$100,3,FALSE),"")</f>
        <v/>
      </c>
      <c r="J997" s="7"/>
      <c r="K997" s="7"/>
      <c r="L997" s="7"/>
      <c r="M997" s="7"/>
      <c r="N997" s="7"/>
      <c r="O997" s="7"/>
      <c r="P997" s="8">
        <f t="shared" si="78"/>
        <v>0</v>
      </c>
      <c r="Q997" s="8">
        <f t="shared" si="79"/>
        <v>0</v>
      </c>
      <c r="R997" s="8">
        <f t="shared" si="80"/>
        <v>0</v>
      </c>
    </row>
    <row r="998" spans="1:18">
      <c r="A998" s="6"/>
      <c r="B998" t="str">
        <f t="shared" si="76"/>
        <v/>
      </c>
      <c r="C998" t="str">
        <f t="shared" si="77"/>
        <v/>
      </c>
      <c r="E998" t="str">
        <f>IFERROR(VLOOKUP(D998,Cadastro!$B$4:$H$100,2,FALSE),"")</f>
        <v/>
      </c>
      <c r="F998" t="str">
        <f>IFERROR(VLOOKUP(D998,Cadastro!$B$4:$H$100,3,FALSE),"")</f>
        <v/>
      </c>
      <c r="J998" s="7"/>
      <c r="K998" s="7"/>
      <c r="L998" s="7"/>
      <c r="M998" s="7"/>
      <c r="N998" s="7"/>
      <c r="O998" s="7"/>
      <c r="P998" s="8">
        <f t="shared" si="78"/>
        <v>0</v>
      </c>
      <c r="Q998" s="8">
        <f t="shared" si="79"/>
        <v>0</v>
      </c>
      <c r="R998" s="8">
        <f t="shared" si="80"/>
        <v>0</v>
      </c>
    </row>
    <row r="999" spans="1:18">
      <c r="A999" s="6"/>
      <c r="B999" t="str">
        <f t="shared" si="76"/>
        <v/>
      </c>
      <c r="C999" t="str">
        <f t="shared" si="77"/>
        <v/>
      </c>
      <c r="E999" t="str">
        <f>IFERROR(VLOOKUP(D999,Cadastro!$B$4:$H$100,2,FALSE),"")</f>
        <v/>
      </c>
      <c r="F999" t="str">
        <f>IFERROR(VLOOKUP(D999,Cadastro!$B$4:$H$100,3,FALSE),"")</f>
        <v/>
      </c>
      <c r="J999" s="7"/>
      <c r="K999" s="7"/>
      <c r="L999" s="7"/>
      <c r="M999" s="7"/>
      <c r="N999" s="7"/>
      <c r="O999" s="7"/>
      <c r="P999" s="8">
        <f t="shared" si="78"/>
        <v>0</v>
      </c>
      <c r="Q999" s="8">
        <f t="shared" si="79"/>
        <v>0</v>
      </c>
      <c r="R999" s="8">
        <f t="shared" si="80"/>
        <v>0</v>
      </c>
    </row>
    <row r="1000" spans="1:18">
      <c r="A1000" s="6"/>
      <c r="B1000" t="str">
        <f t="shared" si="76"/>
        <v/>
      </c>
      <c r="C1000" t="str">
        <f t="shared" si="77"/>
        <v/>
      </c>
      <c r="E1000" t="str">
        <f>IFERROR(VLOOKUP(D1000,Cadastro!$B$4:$H$100,2,FALSE),"")</f>
        <v/>
      </c>
      <c r="F1000" t="str">
        <f>IFERROR(VLOOKUP(D1000,Cadastro!$B$4:$H$100,3,FALSE),"")</f>
        <v/>
      </c>
      <c r="J1000" s="7"/>
      <c r="K1000" s="7"/>
      <c r="L1000" s="7"/>
      <c r="M1000" s="7"/>
      <c r="N1000" s="7"/>
      <c r="O1000" s="7"/>
      <c r="P1000" s="8">
        <f t="shared" si="78"/>
        <v>0</v>
      </c>
      <c r="Q1000" s="8">
        <f t="shared" si="79"/>
        <v>0</v>
      </c>
      <c r="R1000" s="8">
        <f t="shared" si="80"/>
        <v>0</v>
      </c>
    </row>
    <row r="1001" spans="1:18">
      <c r="A1001" s="6"/>
      <c r="B1001" t="str">
        <f t="shared" si="76"/>
        <v/>
      </c>
      <c r="C1001" t="str">
        <f t="shared" si="77"/>
        <v/>
      </c>
      <c r="E1001" t="str">
        <f>IFERROR(VLOOKUP(D1001,Cadastro!$B$4:$H$100,2,FALSE),"")</f>
        <v/>
      </c>
      <c r="F1001" t="str">
        <f>IFERROR(VLOOKUP(D1001,Cadastro!$B$4:$H$100,3,FALSE),"")</f>
        <v/>
      </c>
      <c r="J1001" s="7"/>
      <c r="K1001" s="7"/>
      <c r="L1001" s="7"/>
      <c r="M1001" s="7"/>
      <c r="N1001" s="7"/>
      <c r="O1001" s="7"/>
      <c r="P1001" s="8">
        <f t="shared" si="78"/>
        <v>0</v>
      </c>
      <c r="Q1001" s="8">
        <f t="shared" si="79"/>
        <v>0</v>
      </c>
      <c r="R1001" s="8">
        <f t="shared" si="80"/>
        <v>0</v>
      </c>
    </row>
    <row r="1002" spans="1:18">
      <c r="A1002" s="6"/>
      <c r="B1002" t="str">
        <f t="shared" si="76"/>
        <v/>
      </c>
      <c r="C1002" t="str">
        <f t="shared" si="77"/>
        <v/>
      </c>
      <c r="E1002" t="str">
        <f>IFERROR(VLOOKUP(D1002,Cadastro!$B$4:$H$100,2,FALSE),"")</f>
        <v/>
      </c>
      <c r="F1002" t="str">
        <f>IFERROR(VLOOKUP(D1002,Cadastro!$B$4:$H$100,3,FALSE),"")</f>
        <v/>
      </c>
      <c r="J1002" s="7"/>
      <c r="K1002" s="7"/>
      <c r="L1002" s="7"/>
      <c r="M1002" s="7"/>
      <c r="N1002" s="7"/>
      <c r="O1002" s="7"/>
      <c r="P1002" s="8">
        <f t="shared" si="78"/>
        <v>0</v>
      </c>
      <c r="Q1002" s="8">
        <f t="shared" si="79"/>
        <v>0</v>
      </c>
      <c r="R1002" s="8">
        <f t="shared" si="80"/>
        <v>0</v>
      </c>
    </row>
    <row r="1003" spans="1:18">
      <c r="A1003" s="6"/>
      <c r="B1003" t="str">
        <f t="shared" si="76"/>
        <v/>
      </c>
      <c r="C1003" t="str">
        <f t="shared" si="77"/>
        <v/>
      </c>
      <c r="E1003" t="str">
        <f>IFERROR(VLOOKUP(D1003,Cadastro!$B$4:$H$100,2,FALSE),"")</f>
        <v/>
      </c>
      <c r="F1003" t="str">
        <f>IFERROR(VLOOKUP(D1003,Cadastro!$B$4:$H$100,3,FALSE),"")</f>
        <v/>
      </c>
      <c r="J1003" s="7"/>
      <c r="K1003" s="7"/>
      <c r="L1003" s="7"/>
      <c r="M1003" s="7"/>
      <c r="N1003" s="7"/>
      <c r="O1003" s="7"/>
      <c r="P1003" s="8">
        <f t="shared" si="78"/>
        <v>0</v>
      </c>
      <c r="Q1003" s="8">
        <f t="shared" si="79"/>
        <v>0</v>
      </c>
      <c r="R1003" s="8">
        <f t="shared" si="80"/>
        <v>0</v>
      </c>
    </row>
  </sheetData>
  <mergeCells count="1">
    <mergeCell ref="A1:R1"/>
  </mergeCells>
  <conditionalFormatting sqref="Q4:Q1003">
    <cfRule type="dataBar" priority="1">
      <dataBar>
        <cfvo type="min"/>
        <cfvo type="max"/>
        <color rgb="FF16A34A"/>
      </dataBar>
    </cfRule>
    <cfRule type="dataBar" priority="3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{107AC0BA-476E-6061-60E2-081F4715E966}</x14:id>
        </ext>
      </extLst>
    </cfRule>
  </conditionalFormatting>
  <conditionalFormatting sqref="R4:R1003">
    <cfRule type="dataBar" priority="2">
      <dataBar>
        <cfvo type="min"/>
        <cfvo type="max"/>
        <color rgb="FF2563EB"/>
      </dataBar>
    </cfRule>
    <cfRule type="dataBar" priority="4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{C1E43FB2-C2F2-3941-EF9E-84B42E8C7F57}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07AC0BA-476E-6061-60E2-081F4715E966}">
            <x14:dataBar>
              <x14:cfvo type="min"/>
              <x14:cfvo type="max"/>
              <x14:negativeFillColor auto="1"/>
              <x14:axisColor auto="1"/>
            </x14:dataBar>
          </x14:cfRule>
          <xm:sqref>Q4:Q1003</xm:sqref>
        </x14:conditionalFormatting>
        <x14:conditionalFormatting xmlns:xm="http://schemas.microsoft.com/office/excel/2006/main">
          <x14:cfRule type="dataBar" id="{C1E43FB2-C2F2-3941-EF9E-84B42E8C7F57}">
            <x14:dataBar>
              <x14:cfvo type="min"/>
              <x14:cfvo type="max"/>
              <x14:negativeFillColor auto="1"/>
              <x14:axisColor auto="1"/>
            </x14:dataBar>
          </x14:cfRule>
          <xm:sqref>R4:R1003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5">
        <x14:dataValidation type="list" xr:uid="{00000000-0002-0000-0500-000000000000}">
          <x14:formula1>
            <xm:f>Configurações!$F$4:$F$15</xm:f>
          </x14:formula1>
          <xm:sqref>C4:C43 C67:C75 C99:C107 C131:C1003</xm:sqref>
        </x14:dataValidation>
        <x14:dataValidation type="list" xr:uid="{00000000-0002-0000-0500-000001000000}">
          <x14:formula1>
            <xm:f>Cadastro!$B$4:$B$100</xm:f>
          </x14:formula1>
          <xm:sqref>D4:D35 D67 D131:D1003 D99</xm:sqref>
        </x14:dataValidation>
        <x14:dataValidation type="list" xr:uid="{00000000-0002-0000-0500-000002000000}">
          <x14:formula1>
            <xm:f>Cenários!$A$4:$A$100</xm:f>
          </x14:formula1>
          <xm:sqref>G4:G35 G67 G131:G1003 G99</xm:sqref>
        </x14:dataValidation>
        <x14:dataValidation type="list" xr:uid="{00000000-0002-0000-0500-000003000000}">
          <x14:formula1>
            <xm:f>Preceptores!$A$4:$A$100</xm:f>
          </x14:formula1>
          <xm:sqref>H4:H35 H67 H131:H1003 H99</xm:sqref>
        </x14:dataValidation>
        <x14:dataValidation type="list" xr:uid="{00000000-0002-0000-0500-000004000000}">
          <x14:formula1>
            <xm:f>Configurações!$E$4:$E$10</xm:f>
          </x14:formula1>
          <xm:sqref>I4:I35 I67 I131:I1003 I99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"/>
  <sheetViews>
    <sheetView workbookViewId="0">
      <selection sqref="A1:N1"/>
    </sheetView>
  </sheetViews>
  <sheetFormatPr defaultRowHeight="14.25"/>
  <cols>
    <col min="1" max="1" width="38.875" customWidth="1"/>
    <col min="2" max="2" width="7" customWidth="1"/>
    <col min="4" max="4" width="30" customWidth="1"/>
    <col min="5" max="5" width="12.875" customWidth="1"/>
    <col min="6" max="6" width="6.5" customWidth="1"/>
    <col min="7" max="7" width="7" customWidth="1"/>
    <col min="8" max="8" width="10" customWidth="1"/>
    <col min="9" max="10" width="8.375" customWidth="1"/>
    <col min="11" max="11" width="7" customWidth="1"/>
    <col min="13" max="13" width="12.875" customWidth="1"/>
    <col min="14" max="14" width="10.875" customWidth="1"/>
  </cols>
  <sheetData>
    <row r="1" spans="1:26" ht="33.950000000000003" customHeight="1">
      <c r="A1" s="14" t="s">
        <v>126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3" spans="1:26" ht="30">
      <c r="A3" s="1" t="s">
        <v>127</v>
      </c>
      <c r="B3" s="1" t="s">
        <v>32</v>
      </c>
      <c r="D3" s="4" t="s">
        <v>115</v>
      </c>
      <c r="E3" s="4" t="s">
        <v>79</v>
      </c>
      <c r="F3" s="4" t="s">
        <v>26</v>
      </c>
      <c r="G3" s="4" t="s">
        <v>28</v>
      </c>
      <c r="H3" s="4" t="s">
        <v>128</v>
      </c>
      <c r="I3" s="4" t="s">
        <v>124</v>
      </c>
      <c r="J3" s="4" t="s">
        <v>125</v>
      </c>
      <c r="K3" s="4" t="s">
        <v>129</v>
      </c>
      <c r="M3" s="1" t="s">
        <v>79</v>
      </c>
      <c r="N3" s="1" t="s">
        <v>130</v>
      </c>
    </row>
    <row r="4" spans="1:26">
      <c r="A4" t="s">
        <v>131</v>
      </c>
      <c r="B4">
        <f>COUNTA(Cadastro!$B$4:$B$100)</f>
        <v>9</v>
      </c>
      <c r="D4" t="str">
        <f>Cadastro!B4</f>
        <v>Daniely Kunrath</v>
      </c>
      <c r="E4" t="str">
        <f>Cadastro!C4</f>
        <v>Enfermagem</v>
      </c>
      <c r="F4" t="str">
        <f>Cadastro!D4</f>
        <v>R1</v>
      </c>
      <c r="G4" t="str">
        <f>Cadastro!F4</f>
        <v>ATIVO</v>
      </c>
      <c r="H4" s="8">
        <f>IF(D4="","",SUMIF(Frequencia!$D:$D,D4,Frequencia!$P:$P))</f>
        <v>161.65</v>
      </c>
      <c r="I4" s="8">
        <f>IF(D4="","",SUMIF(Frequencia!$D:$D,D4,Frequencia!$Q:$Q))</f>
        <v>161.65</v>
      </c>
      <c r="J4" s="8">
        <f>IF(D4="","",SUMIF(Frequencia!$D:$D,D4,Frequencia!$R:$R))</f>
        <v>0</v>
      </c>
      <c r="K4" s="9">
        <f>IF(D4="","",H4/Configurações!$I$5)</f>
        <v>5.6128472222222225E-2</v>
      </c>
      <c r="M4" t="s">
        <v>33</v>
      </c>
      <c r="N4">
        <f>COUNTIF(Cadastro!$C$4:$C$100,M4)</f>
        <v>2</v>
      </c>
    </row>
    <row r="5" spans="1:26">
      <c r="A5" t="s">
        <v>132</v>
      </c>
      <c r="B5">
        <f>COUNTIF(Cadastro!$F$4:$F$100,"ATIVO")</f>
        <v>9</v>
      </c>
      <c r="D5" t="str">
        <f>Cadastro!B5</f>
        <v>Betânia Pereira Pardinho</v>
      </c>
      <c r="E5" t="str">
        <f>Cadastro!C5</f>
        <v>Enfermagem</v>
      </c>
      <c r="F5" t="str">
        <f>Cadastro!D5</f>
        <v>R1</v>
      </c>
      <c r="G5" t="str">
        <f>Cadastro!F5</f>
        <v>ATIVO</v>
      </c>
      <c r="H5" s="8">
        <f>IF(D5="","",SUMIF(Frequencia!$D:$D,D5,Frequencia!$P:$P))</f>
        <v>156.48333333333332</v>
      </c>
      <c r="I5" s="8">
        <f>IF(D5="","",SUMIF(Frequencia!$D:$D,D5,Frequencia!$Q:$Q))</f>
        <v>156.48333333333332</v>
      </c>
      <c r="J5" s="8">
        <f>IF(D5="","",SUMIF(Frequencia!$D:$D,D5,Frequencia!$R:$R))</f>
        <v>0</v>
      </c>
      <c r="K5" s="9">
        <f>IF(D5="","",H5/Configurações!$I$5)</f>
        <v>5.4334490740740739E-2</v>
      </c>
      <c r="M5" t="s">
        <v>39</v>
      </c>
      <c r="N5">
        <f>COUNTIF(Cadastro!$C$4:$C$100,M5)</f>
        <v>1</v>
      </c>
    </row>
    <row r="6" spans="1:26">
      <c r="A6" t="s">
        <v>34</v>
      </c>
      <c r="B6">
        <f>COUNTIF(Cadastro!$D$4:$D$100,"R1")</f>
        <v>9</v>
      </c>
      <c r="D6" t="str">
        <f>Cadastro!B6</f>
        <v>Paulo Fernandes Dos Santos</v>
      </c>
      <c r="E6" t="str">
        <f>Cadastro!C6</f>
        <v>Farmácia</v>
      </c>
      <c r="F6" t="str">
        <f>Cadastro!D6</f>
        <v>R1</v>
      </c>
      <c r="G6" t="str">
        <f>Cadastro!F6</f>
        <v>ATIVO</v>
      </c>
      <c r="H6" s="8">
        <f>IF(D6="","",SUMIF(Frequencia!$D:$D,D6,Frequencia!$P:$P))</f>
        <v>134.20000000000002</v>
      </c>
      <c r="I6" s="8">
        <f>IF(D6="","",SUMIF(Frequencia!$D:$D,D6,Frequencia!$Q:$Q))</f>
        <v>134.20000000000002</v>
      </c>
      <c r="J6" s="8">
        <f>IF(D6="","",SUMIF(Frequencia!$D:$D,D6,Frequencia!$R:$R))</f>
        <v>0</v>
      </c>
      <c r="K6" s="9">
        <f>IF(D6="","",H6/Configurações!$I$5)</f>
        <v>4.6597222222222227E-2</v>
      </c>
      <c r="M6" t="s">
        <v>45</v>
      </c>
      <c r="N6">
        <f>COUNTIF(Cadastro!$C$4:$C$100,M6)</f>
        <v>1</v>
      </c>
    </row>
    <row r="7" spans="1:26">
      <c r="A7" t="s">
        <v>40</v>
      </c>
      <c r="B7">
        <f>COUNTIF(Cadastro!$D$4:$D$100,"R2")</f>
        <v>0</v>
      </c>
      <c r="D7" t="str">
        <f>Cadastro!B7</f>
        <v>Maria Neves Lopes Menezes</v>
      </c>
      <c r="E7" t="str">
        <f>Cadastro!C7</f>
        <v>Fisioterapia</v>
      </c>
      <c r="F7" t="str">
        <f>Cadastro!D7</f>
        <v>R1</v>
      </c>
      <c r="G7" t="str">
        <f>Cadastro!F7</f>
        <v>ATIVO</v>
      </c>
      <c r="H7" s="8" t="e">
        <f>IF(D7="","",SUMIF(Frequencia!$D:$D,D7,Frequencia!$P:$P))</f>
        <v>#REF!</v>
      </c>
      <c r="I7" s="8" t="e">
        <f>IF(D7="","",SUMIF(Frequencia!$D:$D,D7,Frequencia!$Q:$Q))</f>
        <v>#REF!</v>
      </c>
      <c r="J7" s="8">
        <f>IF(D7="","",SUMIF(Frequencia!$D:$D,D7,Frequencia!$R:$R))</f>
        <v>0</v>
      </c>
      <c r="K7" s="9" t="e">
        <f>IF(D7="","",H7/Configurações!$I$5)</f>
        <v>#REF!</v>
      </c>
      <c r="M7" t="s">
        <v>50</v>
      </c>
      <c r="N7">
        <f>COUNTIF(Cadastro!$C$4:$C$100,M7)</f>
        <v>1</v>
      </c>
    </row>
    <row r="8" spans="1:26">
      <c r="A8" t="s">
        <v>38</v>
      </c>
      <c r="B8">
        <f>Configurações!$I$4</f>
        <v>5760</v>
      </c>
      <c r="D8" t="str">
        <f>Cadastro!B8</f>
        <v>Benedito Tales Santos Sousa</v>
      </c>
      <c r="E8" t="str">
        <f>Cadastro!C8</f>
        <v>Nutrição</v>
      </c>
      <c r="F8" t="str">
        <f>Cadastro!D8</f>
        <v>R1</v>
      </c>
      <c r="G8" t="str">
        <f>Cadastro!F8</f>
        <v>ATIVO</v>
      </c>
      <c r="H8" s="8">
        <f>IF(D8="","",SUMIF(Frequencia!$D:$D,D8,Frequencia!$P:$P))</f>
        <v>0</v>
      </c>
      <c r="I8" s="8">
        <f>IF(D8="","",SUMIF(Frequencia!$D:$D,D8,Frequencia!$Q:$Q))</f>
        <v>0</v>
      </c>
      <c r="J8" s="8">
        <f>IF(D8="","",SUMIF(Frequencia!$D:$D,D8,Frequencia!$R:$R))</f>
        <v>0</v>
      </c>
      <c r="K8" s="9">
        <f>IF(D8="","",H8/Configurações!$I$5)</f>
        <v>0</v>
      </c>
      <c r="M8" t="s">
        <v>55</v>
      </c>
      <c r="N8">
        <f>COUNTIF(Cadastro!$C$4:$C$100,M8)</f>
        <v>1</v>
      </c>
    </row>
    <row r="9" spans="1:26">
      <c r="A9" t="s">
        <v>44</v>
      </c>
      <c r="B9">
        <f>Configurações!$I$5</f>
        <v>2880</v>
      </c>
      <c r="D9" t="str">
        <f>Cadastro!B9</f>
        <v>Andrea Raissa Bonfim Medeiros</v>
      </c>
      <c r="E9" t="str">
        <f>Cadastro!C9</f>
        <v>Odontologia</v>
      </c>
      <c r="F9" t="str">
        <f>Cadastro!D9</f>
        <v>R1</v>
      </c>
      <c r="G9" t="str">
        <f>Cadastro!F9</f>
        <v>ATIVO</v>
      </c>
      <c r="H9" s="8">
        <f>IF(D9="","",SUMIF(Frequencia!$D:$D,D9,Frequencia!$P:$P))</f>
        <v>0</v>
      </c>
      <c r="I9" s="8">
        <f>IF(D9="","",SUMIF(Frequencia!$D:$D,D9,Frequencia!$Q:$Q))</f>
        <v>0</v>
      </c>
      <c r="J9" s="8">
        <f>IF(D9="","",SUMIF(Frequencia!$D:$D,D9,Frequencia!$R:$R))</f>
        <v>0</v>
      </c>
      <c r="K9" s="9">
        <f>IF(D9="","",H9/Configurações!$I$5)</f>
        <v>0</v>
      </c>
      <c r="M9" t="s">
        <v>60</v>
      </c>
      <c r="N9">
        <f>COUNTIF(Cadastro!$C$4:$C$100,M9)</f>
        <v>1</v>
      </c>
    </row>
    <row r="10" spans="1:26">
      <c r="A10" t="s">
        <v>133</v>
      </c>
      <c r="B10">
        <f>Configurações!$I$6</f>
        <v>576</v>
      </c>
      <c r="D10" t="str">
        <f>Cadastro!B10</f>
        <v>Fabiana Martins Vieira</v>
      </c>
      <c r="E10" t="str">
        <f>Cadastro!C10</f>
        <v>Odontologia</v>
      </c>
      <c r="F10" t="str">
        <f>Cadastro!D10</f>
        <v>R1</v>
      </c>
      <c r="G10" t="str">
        <f>Cadastro!F10</f>
        <v>ATIVO</v>
      </c>
      <c r="H10" s="8">
        <f>IF(D10="","",SUMIF(Frequencia!$D:$D,D10,Frequencia!$P:$P))</f>
        <v>0</v>
      </c>
      <c r="I10" s="8">
        <f>IF(D10="","",SUMIF(Frequencia!$D:$D,D10,Frequencia!$Q:$Q))</f>
        <v>0</v>
      </c>
      <c r="J10" s="8">
        <f>IF(D10="","",SUMIF(Frequencia!$D:$D,D10,Frequencia!$R:$R))</f>
        <v>0</v>
      </c>
      <c r="K10" s="9">
        <f>IF(D10="","",H10/Configurações!$I$5)</f>
        <v>0</v>
      </c>
      <c r="M10" t="s">
        <v>65</v>
      </c>
      <c r="N10">
        <f>COUNTIF(Cadastro!$C$4:$C$100,M10)</f>
        <v>0</v>
      </c>
    </row>
    <row r="11" spans="1:26">
      <c r="A11" t="s">
        <v>134</v>
      </c>
      <c r="B11">
        <f>Configurações!$I$7</f>
        <v>2304</v>
      </c>
      <c r="D11" t="str">
        <f>Cadastro!B11</f>
        <v>Pamela Daniele De Sousa</v>
      </c>
      <c r="E11" t="str">
        <f>Cadastro!C11</f>
        <v>Psicologia</v>
      </c>
      <c r="F11" t="str">
        <f>Cadastro!D11</f>
        <v>R1</v>
      </c>
      <c r="G11" t="str">
        <f>Cadastro!F11</f>
        <v>ATIVO</v>
      </c>
      <c r="H11" s="8">
        <f>IF(D11="","",SUMIF(Frequencia!$D:$D,D11,Frequencia!$P:$P))</f>
        <v>0</v>
      </c>
      <c r="I11" s="8">
        <f>IF(D11="","",SUMIF(Frequencia!$D:$D,D11,Frequencia!$Q:$Q))</f>
        <v>0</v>
      </c>
      <c r="J11" s="8">
        <f>IF(D11="","",SUMIF(Frequencia!$D:$D,D11,Frequencia!$R:$R))</f>
        <v>0</v>
      </c>
      <c r="K11" s="9">
        <f>IF(D11="","",H11/Configurações!$I$5)</f>
        <v>0</v>
      </c>
      <c r="M11" t="s">
        <v>69</v>
      </c>
      <c r="N11">
        <f>COUNTIF(Cadastro!$C$4:$C$100,M11)</f>
        <v>2</v>
      </c>
    </row>
    <row r="12" spans="1:26">
      <c r="D12" t="str">
        <f>Cadastro!B12</f>
        <v>Marcia Sales Belfort</v>
      </c>
      <c r="E12" t="str">
        <f>Cadastro!C12</f>
        <v>Assistente Social</v>
      </c>
      <c r="F12" t="str">
        <f>Cadastro!D12</f>
        <v>R1</v>
      </c>
      <c r="G12" t="str">
        <f>Cadastro!F12</f>
        <v>ATIVO</v>
      </c>
      <c r="H12" s="8">
        <f>IF(D12="","",SUMIF(Frequencia!$D:$D,D12,Frequencia!$P:$P))</f>
        <v>0</v>
      </c>
      <c r="I12" s="8">
        <f>IF(D12="","",SUMIF(Frequencia!$D:$D,D12,Frequencia!$Q:$Q))</f>
        <v>0</v>
      </c>
      <c r="J12" s="8">
        <f>IF(D12="","",SUMIF(Frequencia!$D:$D,D12,Frequencia!$R:$R))</f>
        <v>0</v>
      </c>
      <c r="K12" s="9">
        <f>IF(D12="","",H12/Configurações!$I$5)</f>
        <v>0</v>
      </c>
    </row>
    <row r="13" spans="1:26">
      <c r="D13">
        <f>Cadastro!B13</f>
        <v>0</v>
      </c>
      <c r="E13">
        <f>Cadastro!C13</f>
        <v>0</v>
      </c>
      <c r="F13">
        <f>Cadastro!D13</f>
        <v>0</v>
      </c>
      <c r="G13">
        <f>Cadastro!F13</f>
        <v>0</v>
      </c>
      <c r="H13" s="8">
        <f>IF(D13="","",SUMIF(Frequencia!$D:$D,D13,Frequencia!$P:$P))</f>
        <v>0</v>
      </c>
      <c r="I13" s="8">
        <f>IF(D13="","",SUMIF(Frequencia!$D:$D,D13,Frequencia!$Q:$Q))</f>
        <v>0</v>
      </c>
      <c r="J13" s="8">
        <f>IF(D13="","",SUMIF(Frequencia!$D:$D,D13,Frequencia!$R:$R))</f>
        <v>0</v>
      </c>
      <c r="K13" s="9">
        <f>IF(D13="","",H13/Configurações!$I$5)</f>
        <v>0</v>
      </c>
    </row>
    <row r="14" spans="1:26">
      <c r="D14">
        <f>Cadastro!B14</f>
        <v>0</v>
      </c>
      <c r="E14">
        <f>Cadastro!C14</f>
        <v>0</v>
      </c>
      <c r="F14">
        <f>Cadastro!D14</f>
        <v>0</v>
      </c>
      <c r="G14">
        <f>Cadastro!F14</f>
        <v>0</v>
      </c>
      <c r="H14" s="8">
        <f>IF(D14="","",SUMIF(Frequencia!$D:$D,D14,Frequencia!$P:$P))</f>
        <v>0</v>
      </c>
      <c r="I14" s="8">
        <f>IF(D14="","",SUMIF(Frequencia!$D:$D,D14,Frequencia!$Q:$Q))</f>
        <v>0</v>
      </c>
      <c r="J14" s="8">
        <f>IF(D14="","",SUMIF(Frequencia!$D:$D,D14,Frequencia!$R:$R))</f>
        <v>0</v>
      </c>
      <c r="K14" s="9">
        <f>IF(D14="","",H14/Configurações!$I$5)</f>
        <v>0</v>
      </c>
    </row>
    <row r="15" spans="1:26">
      <c r="D15">
        <f>Cadastro!B15</f>
        <v>0</v>
      </c>
      <c r="E15">
        <f>Cadastro!C15</f>
        <v>0</v>
      </c>
      <c r="F15">
        <f>Cadastro!D15</f>
        <v>0</v>
      </c>
      <c r="G15">
        <f>Cadastro!F15</f>
        <v>0</v>
      </c>
      <c r="H15" s="8">
        <f>IF(D15="","",SUMIF(Frequencia!$D:$D,D15,Frequencia!$P:$P))</f>
        <v>0</v>
      </c>
      <c r="I15" s="8">
        <f>IF(D15="","",SUMIF(Frequencia!$D:$D,D15,Frequencia!$Q:$Q))</f>
        <v>0</v>
      </c>
      <c r="J15" s="8">
        <f>IF(D15="","",SUMIF(Frequencia!$D:$D,D15,Frequencia!$R:$R))</f>
        <v>0</v>
      </c>
      <c r="K15" s="9">
        <f>IF(D15="","",H15/Configurações!$I$5)</f>
        <v>0</v>
      </c>
    </row>
    <row r="16" spans="1:26">
      <c r="D16">
        <f>Cadastro!B16</f>
        <v>0</v>
      </c>
      <c r="E16">
        <f>Cadastro!C16</f>
        <v>0</v>
      </c>
      <c r="F16">
        <f>Cadastro!D16</f>
        <v>0</v>
      </c>
      <c r="G16">
        <f>Cadastro!F16</f>
        <v>0</v>
      </c>
      <c r="H16" s="8">
        <f>IF(D16="","",SUMIF(Frequencia!$D:$D,D16,Frequencia!$P:$P))</f>
        <v>0</v>
      </c>
      <c r="I16" s="8">
        <f>IF(D16="","",SUMIF(Frequencia!$D:$D,D16,Frequencia!$Q:$Q))</f>
        <v>0</v>
      </c>
      <c r="J16" s="8">
        <f>IF(D16="","",SUMIF(Frequencia!$D:$D,D16,Frequencia!$R:$R))</f>
        <v>0</v>
      </c>
      <c r="K16" s="9">
        <f>IF(D16="","",H16/Configurações!$I$5)</f>
        <v>0</v>
      </c>
    </row>
    <row r="17" spans="4:11">
      <c r="D17">
        <f>Cadastro!B17</f>
        <v>0</v>
      </c>
      <c r="E17">
        <f>Cadastro!C17</f>
        <v>0</v>
      </c>
      <c r="F17">
        <f>Cadastro!D17</f>
        <v>0</v>
      </c>
      <c r="G17">
        <f>Cadastro!F17</f>
        <v>0</v>
      </c>
      <c r="H17" s="8">
        <f>IF(D17="","",SUMIF(Frequencia!$D:$D,D17,Frequencia!$P:$P))</f>
        <v>0</v>
      </c>
      <c r="I17" s="8">
        <f>IF(D17="","",SUMIF(Frequencia!$D:$D,D17,Frequencia!$Q:$Q))</f>
        <v>0</v>
      </c>
      <c r="J17" s="8">
        <f>IF(D17="","",SUMIF(Frequencia!$D:$D,D17,Frequencia!$R:$R))</f>
        <v>0</v>
      </c>
      <c r="K17" s="9">
        <f>IF(D17="","",H17/Configurações!$I$5)</f>
        <v>0</v>
      </c>
    </row>
    <row r="18" spans="4:11">
      <c r="D18">
        <f>Cadastro!B18</f>
        <v>0</v>
      </c>
      <c r="E18">
        <f>Cadastro!C18</f>
        <v>0</v>
      </c>
      <c r="F18">
        <f>Cadastro!D18</f>
        <v>0</v>
      </c>
      <c r="G18">
        <f>Cadastro!F18</f>
        <v>0</v>
      </c>
      <c r="H18" s="8">
        <f>IF(D18="","",SUMIF(Frequencia!$D:$D,D18,Frequencia!$P:$P))</f>
        <v>0</v>
      </c>
      <c r="I18" s="8">
        <f>IF(D18="","",SUMIF(Frequencia!$D:$D,D18,Frequencia!$Q:$Q))</f>
        <v>0</v>
      </c>
      <c r="J18" s="8">
        <f>IF(D18="","",SUMIF(Frequencia!$D:$D,D18,Frequencia!$R:$R))</f>
        <v>0</v>
      </c>
      <c r="K18" s="9">
        <f>IF(D18="","",H18/Configurações!$I$5)</f>
        <v>0</v>
      </c>
    </row>
    <row r="19" spans="4:11">
      <c r="D19">
        <f>Cadastro!B19</f>
        <v>0</v>
      </c>
      <c r="E19">
        <f>Cadastro!C19</f>
        <v>0</v>
      </c>
      <c r="F19">
        <f>Cadastro!D19</f>
        <v>0</v>
      </c>
      <c r="G19">
        <f>Cadastro!F19</f>
        <v>0</v>
      </c>
      <c r="H19" s="8">
        <f>IF(D19="","",SUMIF(Frequencia!$D:$D,D19,Frequencia!$P:$P))</f>
        <v>0</v>
      </c>
      <c r="I19" s="8">
        <f>IF(D19="","",SUMIF(Frequencia!$D:$D,D19,Frequencia!$Q:$Q))</f>
        <v>0</v>
      </c>
      <c r="J19" s="8">
        <f>IF(D19="","",SUMIF(Frequencia!$D:$D,D19,Frequencia!$R:$R))</f>
        <v>0</v>
      </c>
      <c r="K19" s="9">
        <f>IF(D19="","",H19/Configurações!$I$5)</f>
        <v>0</v>
      </c>
    </row>
    <row r="20" spans="4:11">
      <c r="D20">
        <f>Cadastro!B20</f>
        <v>0</v>
      </c>
      <c r="E20">
        <f>Cadastro!C20</f>
        <v>0</v>
      </c>
      <c r="F20">
        <f>Cadastro!D20</f>
        <v>0</v>
      </c>
      <c r="G20">
        <f>Cadastro!F20</f>
        <v>0</v>
      </c>
      <c r="H20" s="8">
        <f>IF(D20="","",SUMIF(Frequencia!$D:$D,D20,Frequencia!$P:$P))</f>
        <v>0</v>
      </c>
      <c r="I20" s="8">
        <f>IF(D20="","",SUMIF(Frequencia!$D:$D,D20,Frequencia!$Q:$Q))</f>
        <v>0</v>
      </c>
      <c r="J20" s="8">
        <f>IF(D20="","",SUMIF(Frequencia!$D:$D,D20,Frequencia!$R:$R))</f>
        <v>0</v>
      </c>
      <c r="K20" s="9">
        <f>IF(D20="","",H20/Configurações!$I$5)</f>
        <v>0</v>
      </c>
    </row>
    <row r="21" spans="4:11">
      <c r="D21">
        <f>Cadastro!B21</f>
        <v>0</v>
      </c>
      <c r="E21">
        <f>Cadastro!C21</f>
        <v>0</v>
      </c>
      <c r="F21">
        <f>Cadastro!D21</f>
        <v>0</v>
      </c>
      <c r="G21">
        <f>Cadastro!F21</f>
        <v>0</v>
      </c>
      <c r="H21" s="8">
        <f>IF(D21="","",SUMIF(Frequencia!$D:$D,D21,Frequencia!$P:$P))</f>
        <v>0</v>
      </c>
      <c r="I21" s="8">
        <f>IF(D21="","",SUMIF(Frequencia!$D:$D,D21,Frequencia!$Q:$Q))</f>
        <v>0</v>
      </c>
      <c r="J21" s="8">
        <f>IF(D21="","",SUMIF(Frequencia!$D:$D,D21,Frequencia!$R:$R))</f>
        <v>0</v>
      </c>
      <c r="K21" s="9">
        <f>IF(D21="","",H21/Configurações!$I$5)</f>
        <v>0</v>
      </c>
    </row>
    <row r="22" spans="4:11">
      <c r="D22">
        <f>Cadastro!B22</f>
        <v>0</v>
      </c>
      <c r="E22">
        <f>Cadastro!C22</f>
        <v>0</v>
      </c>
      <c r="F22">
        <f>Cadastro!D22</f>
        <v>0</v>
      </c>
      <c r="G22">
        <f>Cadastro!F22</f>
        <v>0</v>
      </c>
      <c r="H22" s="8">
        <f>IF(D22="","",SUMIF(Frequencia!$D:$D,D22,Frequencia!$P:$P))</f>
        <v>0</v>
      </c>
      <c r="I22" s="8">
        <f>IF(D22="","",SUMIF(Frequencia!$D:$D,D22,Frequencia!$Q:$Q))</f>
        <v>0</v>
      </c>
      <c r="J22" s="8">
        <f>IF(D22="","",SUMIF(Frequencia!$D:$D,D22,Frequencia!$R:$R))</f>
        <v>0</v>
      </c>
      <c r="K22" s="9">
        <f>IF(D22="","",H22/Configurações!$I$5)</f>
        <v>0</v>
      </c>
    </row>
    <row r="23" spans="4:11">
      <c r="D23">
        <f>Cadastro!B23</f>
        <v>0</v>
      </c>
      <c r="E23">
        <f>Cadastro!C23</f>
        <v>0</v>
      </c>
      <c r="F23">
        <f>Cadastro!D23</f>
        <v>0</v>
      </c>
      <c r="G23">
        <f>Cadastro!F23</f>
        <v>0</v>
      </c>
      <c r="H23" s="8">
        <f>IF(D23="","",SUMIF(Frequencia!$D:$D,D23,Frequencia!$P:$P))</f>
        <v>0</v>
      </c>
      <c r="I23" s="8">
        <f>IF(D23="","",SUMIF(Frequencia!$D:$D,D23,Frequencia!$Q:$Q))</f>
        <v>0</v>
      </c>
      <c r="J23" s="8">
        <f>IF(D23="","",SUMIF(Frequencia!$D:$D,D23,Frequencia!$R:$R))</f>
        <v>0</v>
      </c>
      <c r="K23" s="9">
        <f>IF(D23="","",H23/Configurações!$I$5)</f>
        <v>0</v>
      </c>
    </row>
    <row r="24" spans="4:11">
      <c r="D24">
        <f>Cadastro!B24</f>
        <v>0</v>
      </c>
      <c r="E24">
        <f>Cadastro!C24</f>
        <v>0</v>
      </c>
      <c r="F24">
        <f>Cadastro!D24</f>
        <v>0</v>
      </c>
      <c r="G24">
        <f>Cadastro!F24</f>
        <v>0</v>
      </c>
      <c r="H24" s="8">
        <f>IF(D24="","",SUMIF(Frequencia!$D:$D,D24,Frequencia!$P:$P))</f>
        <v>0</v>
      </c>
      <c r="I24" s="8">
        <f>IF(D24="","",SUMIF(Frequencia!$D:$D,D24,Frequencia!$Q:$Q))</f>
        <v>0</v>
      </c>
      <c r="J24" s="8">
        <f>IF(D24="","",SUMIF(Frequencia!$D:$D,D24,Frequencia!$R:$R))</f>
        <v>0</v>
      </c>
      <c r="K24" s="9">
        <f>IF(D24="","",H24/Configurações!$I$5)</f>
        <v>0</v>
      </c>
    </row>
    <row r="25" spans="4:11">
      <c r="D25">
        <f>Cadastro!B25</f>
        <v>0</v>
      </c>
      <c r="E25">
        <f>Cadastro!C25</f>
        <v>0</v>
      </c>
      <c r="F25">
        <f>Cadastro!D25</f>
        <v>0</v>
      </c>
      <c r="G25">
        <f>Cadastro!F25</f>
        <v>0</v>
      </c>
      <c r="H25" s="8">
        <f>IF(D25="","",SUMIF(Frequencia!$D:$D,D25,Frequencia!$P:$P))</f>
        <v>0</v>
      </c>
      <c r="I25" s="8">
        <f>IF(D25="","",SUMIF(Frequencia!$D:$D,D25,Frequencia!$Q:$Q))</f>
        <v>0</v>
      </c>
      <c r="J25" s="8">
        <f>IF(D25="","",SUMIF(Frequencia!$D:$D,D25,Frequencia!$R:$R))</f>
        <v>0</v>
      </c>
      <c r="K25" s="9">
        <f>IF(D25="","",H25/Configurações!$I$5)</f>
        <v>0</v>
      </c>
    </row>
    <row r="26" spans="4:11">
      <c r="D26">
        <f>Cadastro!B26</f>
        <v>0</v>
      </c>
      <c r="E26">
        <f>Cadastro!C26</f>
        <v>0</v>
      </c>
      <c r="F26">
        <f>Cadastro!D26</f>
        <v>0</v>
      </c>
      <c r="G26">
        <f>Cadastro!F26</f>
        <v>0</v>
      </c>
      <c r="H26" s="8">
        <f>IF(D26="","",SUMIF(Frequencia!$D:$D,D26,Frequencia!$P:$P))</f>
        <v>0</v>
      </c>
      <c r="I26" s="8">
        <f>IF(D26="","",SUMIF(Frequencia!$D:$D,D26,Frequencia!$Q:$Q))</f>
        <v>0</v>
      </c>
      <c r="J26" s="8">
        <f>IF(D26="","",SUMIF(Frequencia!$D:$D,D26,Frequencia!$R:$R))</f>
        <v>0</v>
      </c>
      <c r="K26" s="9">
        <f>IF(D26="","",H26/Configurações!$I$5)</f>
        <v>0</v>
      </c>
    </row>
    <row r="27" spans="4:11">
      <c r="D27">
        <f>Cadastro!B27</f>
        <v>0</v>
      </c>
      <c r="E27">
        <f>Cadastro!C27</f>
        <v>0</v>
      </c>
      <c r="F27">
        <f>Cadastro!D27</f>
        <v>0</v>
      </c>
      <c r="G27">
        <f>Cadastro!F27</f>
        <v>0</v>
      </c>
      <c r="H27" s="8">
        <f>IF(D27="","",SUMIF(Frequencia!$D:$D,D27,Frequencia!$P:$P))</f>
        <v>0</v>
      </c>
      <c r="I27" s="8">
        <f>IF(D27="","",SUMIF(Frequencia!$D:$D,D27,Frequencia!$Q:$Q))</f>
        <v>0</v>
      </c>
      <c r="J27" s="8">
        <f>IF(D27="","",SUMIF(Frequencia!$D:$D,D27,Frequencia!$R:$R))</f>
        <v>0</v>
      </c>
      <c r="K27" s="9">
        <f>IF(D27="","",H27/Configurações!$I$5)</f>
        <v>0</v>
      </c>
    </row>
    <row r="28" spans="4:11">
      <c r="D28">
        <f>Cadastro!B28</f>
        <v>0</v>
      </c>
      <c r="E28">
        <f>Cadastro!C28</f>
        <v>0</v>
      </c>
      <c r="F28">
        <f>Cadastro!D28</f>
        <v>0</v>
      </c>
      <c r="G28">
        <f>Cadastro!F28</f>
        <v>0</v>
      </c>
      <c r="H28" s="8">
        <f>IF(D28="","",SUMIF(Frequencia!$D:$D,D28,Frequencia!$P:$P))</f>
        <v>0</v>
      </c>
      <c r="I28" s="8">
        <f>IF(D28="","",SUMIF(Frequencia!$D:$D,D28,Frequencia!$Q:$Q))</f>
        <v>0</v>
      </c>
      <c r="J28" s="8">
        <f>IF(D28="","",SUMIF(Frequencia!$D:$D,D28,Frequencia!$R:$R))</f>
        <v>0</v>
      </c>
      <c r="K28" s="9">
        <f>IF(D28="","",H28/Configurações!$I$5)</f>
        <v>0</v>
      </c>
    </row>
    <row r="29" spans="4:11">
      <c r="D29">
        <f>Cadastro!B29</f>
        <v>0</v>
      </c>
      <c r="E29">
        <f>Cadastro!C29</f>
        <v>0</v>
      </c>
      <c r="F29">
        <f>Cadastro!D29</f>
        <v>0</v>
      </c>
      <c r="G29">
        <f>Cadastro!F29</f>
        <v>0</v>
      </c>
      <c r="H29" s="8">
        <f>IF(D29="","",SUMIF(Frequencia!$D:$D,D29,Frequencia!$P:$P))</f>
        <v>0</v>
      </c>
      <c r="I29" s="8">
        <f>IF(D29="","",SUMIF(Frequencia!$D:$D,D29,Frequencia!$Q:$Q))</f>
        <v>0</v>
      </c>
      <c r="J29" s="8">
        <f>IF(D29="","",SUMIF(Frequencia!$D:$D,D29,Frequencia!$R:$R))</f>
        <v>0</v>
      </c>
      <c r="K29" s="9">
        <f>IF(D29="","",H29/Configurações!$I$5)</f>
        <v>0</v>
      </c>
    </row>
    <row r="30" spans="4:11">
      <c r="D30">
        <f>Cadastro!B30</f>
        <v>0</v>
      </c>
      <c r="E30">
        <f>Cadastro!C30</f>
        <v>0</v>
      </c>
      <c r="F30">
        <f>Cadastro!D30</f>
        <v>0</v>
      </c>
      <c r="G30">
        <f>Cadastro!F30</f>
        <v>0</v>
      </c>
      <c r="H30" s="8">
        <f>IF(D30="","",SUMIF(Frequencia!$D:$D,D30,Frequencia!$P:$P))</f>
        <v>0</v>
      </c>
      <c r="I30" s="8">
        <f>IF(D30="","",SUMIF(Frequencia!$D:$D,D30,Frequencia!$Q:$Q))</f>
        <v>0</v>
      </c>
      <c r="J30" s="8">
        <f>IF(D30="","",SUMIF(Frequencia!$D:$D,D30,Frequencia!$R:$R))</f>
        <v>0</v>
      </c>
      <c r="K30" s="9">
        <f>IF(D30="","",H30/Configurações!$I$5)</f>
        <v>0</v>
      </c>
    </row>
    <row r="31" spans="4:11">
      <c r="D31">
        <f>Cadastro!B31</f>
        <v>0</v>
      </c>
      <c r="E31">
        <f>Cadastro!C31</f>
        <v>0</v>
      </c>
      <c r="F31">
        <f>Cadastro!D31</f>
        <v>0</v>
      </c>
      <c r="G31">
        <f>Cadastro!F31</f>
        <v>0</v>
      </c>
      <c r="H31" s="8">
        <f>IF(D31="","",SUMIF(Frequencia!$D:$D,D31,Frequencia!$P:$P))</f>
        <v>0</v>
      </c>
      <c r="I31" s="8">
        <f>IF(D31="","",SUMIF(Frequencia!$D:$D,D31,Frequencia!$Q:$Q))</f>
        <v>0</v>
      </c>
      <c r="J31" s="8">
        <f>IF(D31="","",SUMIF(Frequencia!$D:$D,D31,Frequencia!$R:$R))</f>
        <v>0</v>
      </c>
      <c r="K31" s="9">
        <f>IF(D31="","",H31/Configurações!$I$5)</f>
        <v>0</v>
      </c>
    </row>
    <row r="32" spans="4:11">
      <c r="D32">
        <f>Cadastro!B32</f>
        <v>0</v>
      </c>
      <c r="E32">
        <f>Cadastro!C32</f>
        <v>0</v>
      </c>
      <c r="F32">
        <f>Cadastro!D32</f>
        <v>0</v>
      </c>
      <c r="G32">
        <f>Cadastro!F32</f>
        <v>0</v>
      </c>
      <c r="H32" s="8">
        <f>IF(D32="","",SUMIF(Frequencia!$D:$D,D32,Frequencia!$P:$P))</f>
        <v>0</v>
      </c>
      <c r="I32" s="8">
        <f>IF(D32="","",SUMIF(Frequencia!$D:$D,D32,Frequencia!$Q:$Q))</f>
        <v>0</v>
      </c>
      <c r="J32" s="8">
        <f>IF(D32="","",SUMIF(Frequencia!$D:$D,D32,Frequencia!$R:$R))</f>
        <v>0</v>
      </c>
      <c r="K32" s="9">
        <f>IF(D32="","",H32/Configurações!$I$5)</f>
        <v>0</v>
      </c>
    </row>
    <row r="33" spans="4:11">
      <c r="D33">
        <f>Cadastro!B33</f>
        <v>0</v>
      </c>
      <c r="E33">
        <f>Cadastro!C33</f>
        <v>0</v>
      </c>
      <c r="F33">
        <f>Cadastro!D33</f>
        <v>0</v>
      </c>
      <c r="G33">
        <f>Cadastro!F33</f>
        <v>0</v>
      </c>
      <c r="H33" s="8">
        <f>IF(D33="","",SUMIF(Frequencia!$D:$D,D33,Frequencia!$P:$P))</f>
        <v>0</v>
      </c>
      <c r="I33" s="8">
        <f>IF(D33="","",SUMIF(Frequencia!$D:$D,D33,Frequencia!$Q:$Q))</f>
        <v>0</v>
      </c>
      <c r="J33" s="8">
        <f>IF(D33="","",SUMIF(Frequencia!$D:$D,D33,Frequencia!$R:$R))</f>
        <v>0</v>
      </c>
      <c r="K33" s="9">
        <f>IF(D33="","",H33/Configurações!$I$5)</f>
        <v>0</v>
      </c>
    </row>
    <row r="34" spans="4:11">
      <c r="D34">
        <f>Cadastro!B34</f>
        <v>0</v>
      </c>
      <c r="E34">
        <f>Cadastro!C34</f>
        <v>0</v>
      </c>
      <c r="F34">
        <f>Cadastro!D34</f>
        <v>0</v>
      </c>
      <c r="G34">
        <f>Cadastro!F34</f>
        <v>0</v>
      </c>
      <c r="H34" s="8">
        <f>IF(D34="","",SUMIF(Frequencia!$D:$D,D34,Frequencia!$P:$P))</f>
        <v>0</v>
      </c>
      <c r="I34" s="8">
        <f>IF(D34="","",SUMIF(Frequencia!$D:$D,D34,Frequencia!$Q:$Q))</f>
        <v>0</v>
      </c>
      <c r="J34" s="8">
        <f>IF(D34="","",SUMIF(Frequencia!$D:$D,D34,Frequencia!$R:$R))</f>
        <v>0</v>
      </c>
      <c r="K34" s="9">
        <f>IF(D34="","",H34/Configurações!$I$5)</f>
        <v>0</v>
      </c>
    </row>
    <row r="35" spans="4:11">
      <c r="D35">
        <f>Cadastro!B35</f>
        <v>0</v>
      </c>
      <c r="E35">
        <f>Cadastro!C35</f>
        <v>0</v>
      </c>
      <c r="F35">
        <f>Cadastro!D35</f>
        <v>0</v>
      </c>
      <c r="G35">
        <f>Cadastro!F35</f>
        <v>0</v>
      </c>
      <c r="H35" s="8">
        <f>IF(D35="","",SUMIF(Frequencia!$D:$D,D35,Frequencia!$P:$P))</f>
        <v>0</v>
      </c>
      <c r="I35" s="8">
        <f>IF(D35="","",SUMIF(Frequencia!$D:$D,D35,Frequencia!$Q:$Q))</f>
        <v>0</v>
      </c>
      <c r="J35" s="8">
        <f>IF(D35="","",SUMIF(Frequencia!$D:$D,D35,Frequencia!$R:$R))</f>
        <v>0</v>
      </c>
      <c r="K35" s="9">
        <f>IF(D35="","",H35/Configurações!$I$5)</f>
        <v>0</v>
      </c>
    </row>
    <row r="36" spans="4:11">
      <c r="D36">
        <f>Cadastro!B36</f>
        <v>0</v>
      </c>
      <c r="E36">
        <f>Cadastro!C36</f>
        <v>0</v>
      </c>
      <c r="F36">
        <f>Cadastro!D36</f>
        <v>0</v>
      </c>
      <c r="G36">
        <f>Cadastro!F36</f>
        <v>0</v>
      </c>
      <c r="H36" s="8">
        <f>IF(D36="","",SUMIF(Frequencia!$D:$D,D36,Frequencia!$P:$P))</f>
        <v>0</v>
      </c>
      <c r="I36" s="8">
        <f>IF(D36="","",SUMIF(Frequencia!$D:$D,D36,Frequencia!$Q:$Q))</f>
        <v>0</v>
      </c>
      <c r="J36" s="8">
        <f>IF(D36="","",SUMIF(Frequencia!$D:$D,D36,Frequencia!$R:$R))</f>
        <v>0</v>
      </c>
      <c r="K36" s="9">
        <f>IF(D36="","",H36/Configurações!$I$5)</f>
        <v>0</v>
      </c>
    </row>
    <row r="37" spans="4:11">
      <c r="D37">
        <f>Cadastro!B37</f>
        <v>0</v>
      </c>
      <c r="E37">
        <f>Cadastro!C37</f>
        <v>0</v>
      </c>
      <c r="F37">
        <f>Cadastro!D37</f>
        <v>0</v>
      </c>
      <c r="G37">
        <f>Cadastro!F37</f>
        <v>0</v>
      </c>
      <c r="H37" s="8">
        <f>IF(D37="","",SUMIF(Frequencia!$D:$D,D37,Frequencia!$P:$P))</f>
        <v>0</v>
      </c>
      <c r="I37" s="8">
        <f>IF(D37="","",SUMIF(Frequencia!$D:$D,D37,Frequencia!$Q:$Q))</f>
        <v>0</v>
      </c>
      <c r="J37" s="8">
        <f>IF(D37="","",SUMIF(Frequencia!$D:$D,D37,Frequencia!$R:$R))</f>
        <v>0</v>
      </c>
      <c r="K37" s="9">
        <f>IF(D37="","",H37/Configurações!$I$5)</f>
        <v>0</v>
      </c>
    </row>
    <row r="38" spans="4:11">
      <c r="D38">
        <f>Cadastro!B38</f>
        <v>0</v>
      </c>
      <c r="E38">
        <f>Cadastro!C38</f>
        <v>0</v>
      </c>
      <c r="F38">
        <f>Cadastro!D38</f>
        <v>0</v>
      </c>
      <c r="G38">
        <f>Cadastro!F38</f>
        <v>0</v>
      </c>
      <c r="H38" s="8">
        <f>IF(D38="","",SUMIF(Frequencia!$D:$D,D38,Frequencia!$P:$P))</f>
        <v>0</v>
      </c>
      <c r="I38" s="8">
        <f>IF(D38="","",SUMIF(Frequencia!$D:$D,D38,Frequencia!$Q:$Q))</f>
        <v>0</v>
      </c>
      <c r="J38" s="8">
        <f>IF(D38="","",SUMIF(Frequencia!$D:$D,D38,Frequencia!$R:$R))</f>
        <v>0</v>
      </c>
      <c r="K38" s="9">
        <f>IF(D38="","",H38/Configurações!$I$5)</f>
        <v>0</v>
      </c>
    </row>
    <row r="39" spans="4:11">
      <c r="D39">
        <f>Cadastro!B39</f>
        <v>0</v>
      </c>
      <c r="E39">
        <f>Cadastro!C39</f>
        <v>0</v>
      </c>
      <c r="F39">
        <f>Cadastro!D39</f>
        <v>0</v>
      </c>
      <c r="G39">
        <f>Cadastro!F39</f>
        <v>0</v>
      </c>
      <c r="H39" s="8">
        <f>IF(D39="","",SUMIF(Frequencia!$D:$D,D39,Frequencia!$P:$P))</f>
        <v>0</v>
      </c>
      <c r="I39" s="8">
        <f>IF(D39="","",SUMIF(Frequencia!$D:$D,D39,Frequencia!$Q:$Q))</f>
        <v>0</v>
      </c>
      <c r="J39" s="8">
        <f>IF(D39="","",SUMIF(Frequencia!$D:$D,D39,Frequencia!$R:$R))</f>
        <v>0</v>
      </c>
      <c r="K39" s="9">
        <f>IF(D39="","",H39/Configurações!$I$5)</f>
        <v>0</v>
      </c>
    </row>
    <row r="40" spans="4:11">
      <c r="D40">
        <f>Cadastro!B40</f>
        <v>0</v>
      </c>
      <c r="E40">
        <f>Cadastro!C40</f>
        <v>0</v>
      </c>
      <c r="F40">
        <f>Cadastro!D40</f>
        <v>0</v>
      </c>
      <c r="G40">
        <f>Cadastro!F40</f>
        <v>0</v>
      </c>
      <c r="H40" s="8">
        <f>IF(D40="","",SUMIF(Frequencia!$D:$D,D40,Frequencia!$P:$P))</f>
        <v>0</v>
      </c>
      <c r="I40" s="8">
        <f>IF(D40="","",SUMIF(Frequencia!$D:$D,D40,Frequencia!$Q:$Q))</f>
        <v>0</v>
      </c>
      <c r="J40" s="8">
        <f>IF(D40="","",SUMIF(Frequencia!$D:$D,D40,Frequencia!$R:$R))</f>
        <v>0</v>
      </c>
      <c r="K40" s="9">
        <f>IF(D40="","",H40/Configurações!$I$5)</f>
        <v>0</v>
      </c>
    </row>
    <row r="41" spans="4:11">
      <c r="D41">
        <f>Cadastro!B41</f>
        <v>0</v>
      </c>
      <c r="E41">
        <f>Cadastro!C41</f>
        <v>0</v>
      </c>
      <c r="F41">
        <f>Cadastro!D41</f>
        <v>0</v>
      </c>
      <c r="G41">
        <f>Cadastro!F41</f>
        <v>0</v>
      </c>
      <c r="H41" s="8">
        <f>IF(D41="","",SUMIF(Frequencia!$D:$D,D41,Frequencia!$P:$P))</f>
        <v>0</v>
      </c>
      <c r="I41" s="8">
        <f>IF(D41="","",SUMIF(Frequencia!$D:$D,D41,Frequencia!$Q:$Q))</f>
        <v>0</v>
      </c>
      <c r="J41" s="8">
        <f>IF(D41="","",SUMIF(Frequencia!$D:$D,D41,Frequencia!$R:$R))</f>
        <v>0</v>
      </c>
      <c r="K41" s="9">
        <f>IF(D41="","",H41/Configurações!$I$5)</f>
        <v>0</v>
      </c>
    </row>
    <row r="42" spans="4:11">
      <c r="D42">
        <f>Cadastro!B42</f>
        <v>0</v>
      </c>
      <c r="E42">
        <f>Cadastro!C42</f>
        <v>0</v>
      </c>
      <c r="F42">
        <f>Cadastro!D42</f>
        <v>0</v>
      </c>
      <c r="G42">
        <f>Cadastro!F42</f>
        <v>0</v>
      </c>
      <c r="H42" s="8">
        <f>IF(D42="","",SUMIF(Frequencia!$D:$D,D42,Frequencia!$P:$P))</f>
        <v>0</v>
      </c>
      <c r="I42" s="8">
        <f>IF(D42="","",SUMIF(Frequencia!$D:$D,D42,Frequencia!$Q:$Q))</f>
        <v>0</v>
      </c>
      <c r="J42" s="8">
        <f>IF(D42="","",SUMIF(Frequencia!$D:$D,D42,Frequencia!$R:$R))</f>
        <v>0</v>
      </c>
      <c r="K42" s="9">
        <f>IF(D42="","",H42/Configurações!$I$5)</f>
        <v>0</v>
      </c>
    </row>
    <row r="43" spans="4:11">
      <c r="D43">
        <f>Cadastro!B43</f>
        <v>0</v>
      </c>
      <c r="E43">
        <f>Cadastro!C43</f>
        <v>0</v>
      </c>
      <c r="F43">
        <f>Cadastro!D43</f>
        <v>0</v>
      </c>
      <c r="G43">
        <f>Cadastro!F43</f>
        <v>0</v>
      </c>
      <c r="H43" s="8">
        <f>IF(D43="","",SUMIF(Frequencia!$D:$D,D43,Frequencia!$P:$P))</f>
        <v>0</v>
      </c>
      <c r="I43" s="8">
        <f>IF(D43="","",SUMIF(Frequencia!$D:$D,D43,Frequencia!$Q:$Q))</f>
        <v>0</v>
      </c>
      <c r="J43" s="8">
        <f>IF(D43="","",SUMIF(Frequencia!$D:$D,D43,Frequencia!$R:$R))</f>
        <v>0</v>
      </c>
      <c r="K43" s="9">
        <f>IF(D43="","",H43/Configurações!$I$5)</f>
        <v>0</v>
      </c>
    </row>
    <row r="44" spans="4:11">
      <c r="D44">
        <f>Cadastro!B44</f>
        <v>0</v>
      </c>
      <c r="E44">
        <f>Cadastro!C44</f>
        <v>0</v>
      </c>
      <c r="F44">
        <f>Cadastro!D44</f>
        <v>0</v>
      </c>
      <c r="G44">
        <f>Cadastro!F44</f>
        <v>0</v>
      </c>
      <c r="H44" s="8">
        <f>IF(D44="","",SUMIF(Frequencia!$D:$D,D44,Frequencia!$P:$P))</f>
        <v>0</v>
      </c>
      <c r="I44" s="8">
        <f>IF(D44="","",SUMIF(Frequencia!$D:$D,D44,Frequencia!$Q:$Q))</f>
        <v>0</v>
      </c>
      <c r="J44" s="8">
        <f>IF(D44="","",SUMIF(Frequencia!$D:$D,D44,Frequencia!$R:$R))</f>
        <v>0</v>
      </c>
      <c r="K44" s="9">
        <f>IF(D44="","",H44/Configurações!$I$5)</f>
        <v>0</v>
      </c>
    </row>
    <row r="45" spans="4:11">
      <c r="D45">
        <f>Cadastro!B45</f>
        <v>0</v>
      </c>
      <c r="E45">
        <f>Cadastro!C45</f>
        <v>0</v>
      </c>
      <c r="F45">
        <f>Cadastro!D45</f>
        <v>0</v>
      </c>
      <c r="G45">
        <f>Cadastro!F45</f>
        <v>0</v>
      </c>
      <c r="H45" s="8">
        <f>IF(D45="","",SUMIF(Frequencia!$D:$D,D45,Frequencia!$P:$P))</f>
        <v>0</v>
      </c>
      <c r="I45" s="8">
        <f>IF(D45="","",SUMIF(Frequencia!$D:$D,D45,Frequencia!$Q:$Q))</f>
        <v>0</v>
      </c>
      <c r="J45" s="8">
        <f>IF(D45="","",SUMIF(Frequencia!$D:$D,D45,Frequencia!$R:$R))</f>
        <v>0</v>
      </c>
      <c r="K45" s="9">
        <f>IF(D45="","",H45/Configurações!$I$5)</f>
        <v>0</v>
      </c>
    </row>
    <row r="46" spans="4:11">
      <c r="D46">
        <f>Cadastro!B46</f>
        <v>0</v>
      </c>
      <c r="E46">
        <f>Cadastro!C46</f>
        <v>0</v>
      </c>
      <c r="F46">
        <f>Cadastro!D46</f>
        <v>0</v>
      </c>
      <c r="G46">
        <f>Cadastro!F46</f>
        <v>0</v>
      </c>
      <c r="H46" s="8">
        <f>IF(D46="","",SUMIF(Frequencia!$D:$D,D46,Frequencia!$P:$P))</f>
        <v>0</v>
      </c>
      <c r="I46" s="8">
        <f>IF(D46="","",SUMIF(Frequencia!$D:$D,D46,Frequencia!$Q:$Q))</f>
        <v>0</v>
      </c>
      <c r="J46" s="8">
        <f>IF(D46="","",SUMIF(Frequencia!$D:$D,D46,Frequencia!$R:$R))</f>
        <v>0</v>
      </c>
      <c r="K46" s="9">
        <f>IF(D46="","",H46/Configurações!$I$5)</f>
        <v>0</v>
      </c>
    </row>
    <row r="47" spans="4:11">
      <c r="D47">
        <f>Cadastro!B47</f>
        <v>0</v>
      </c>
      <c r="E47">
        <f>Cadastro!C47</f>
        <v>0</v>
      </c>
      <c r="F47">
        <f>Cadastro!D47</f>
        <v>0</v>
      </c>
      <c r="G47">
        <f>Cadastro!F47</f>
        <v>0</v>
      </c>
      <c r="H47" s="8">
        <f>IF(D47="","",SUMIF(Frequencia!$D:$D,D47,Frequencia!$P:$P))</f>
        <v>0</v>
      </c>
      <c r="I47" s="8">
        <f>IF(D47="","",SUMIF(Frequencia!$D:$D,D47,Frequencia!$Q:$Q))</f>
        <v>0</v>
      </c>
      <c r="J47" s="8">
        <f>IF(D47="","",SUMIF(Frequencia!$D:$D,D47,Frequencia!$R:$R))</f>
        <v>0</v>
      </c>
      <c r="K47" s="9">
        <f>IF(D47="","",H47/Configurações!$I$5)</f>
        <v>0</v>
      </c>
    </row>
    <row r="48" spans="4:11">
      <c r="D48">
        <f>Cadastro!B48</f>
        <v>0</v>
      </c>
      <c r="E48">
        <f>Cadastro!C48</f>
        <v>0</v>
      </c>
      <c r="F48">
        <f>Cadastro!D48</f>
        <v>0</v>
      </c>
      <c r="G48">
        <f>Cadastro!F48</f>
        <v>0</v>
      </c>
      <c r="H48" s="8">
        <f>IF(D48="","",SUMIF(Frequencia!$D:$D,D48,Frequencia!$P:$P))</f>
        <v>0</v>
      </c>
      <c r="I48" s="8">
        <f>IF(D48="","",SUMIF(Frequencia!$D:$D,D48,Frequencia!$Q:$Q))</f>
        <v>0</v>
      </c>
      <c r="J48" s="8">
        <f>IF(D48="","",SUMIF(Frequencia!$D:$D,D48,Frequencia!$R:$R))</f>
        <v>0</v>
      </c>
      <c r="K48" s="9">
        <f>IF(D48="","",H48/Configurações!$I$5)</f>
        <v>0</v>
      </c>
    </row>
    <row r="49" spans="4:11">
      <c r="D49">
        <f>Cadastro!B49</f>
        <v>0</v>
      </c>
      <c r="E49">
        <f>Cadastro!C49</f>
        <v>0</v>
      </c>
      <c r="F49">
        <f>Cadastro!D49</f>
        <v>0</v>
      </c>
      <c r="G49">
        <f>Cadastro!F49</f>
        <v>0</v>
      </c>
      <c r="H49" s="8">
        <f>IF(D49="","",SUMIF(Frequencia!$D:$D,D49,Frequencia!$P:$P))</f>
        <v>0</v>
      </c>
      <c r="I49" s="8">
        <f>IF(D49="","",SUMIF(Frequencia!$D:$D,D49,Frequencia!$Q:$Q))</f>
        <v>0</v>
      </c>
      <c r="J49" s="8">
        <f>IF(D49="","",SUMIF(Frequencia!$D:$D,D49,Frequencia!$R:$R))</f>
        <v>0</v>
      </c>
      <c r="K49" s="9">
        <f>IF(D49="","",H49/Configurações!$I$5)</f>
        <v>0</v>
      </c>
    </row>
    <row r="50" spans="4:11">
      <c r="D50">
        <f>Cadastro!B50</f>
        <v>0</v>
      </c>
      <c r="E50">
        <f>Cadastro!C50</f>
        <v>0</v>
      </c>
      <c r="F50">
        <f>Cadastro!D50</f>
        <v>0</v>
      </c>
      <c r="G50">
        <f>Cadastro!F50</f>
        <v>0</v>
      </c>
      <c r="H50" s="8">
        <f>IF(D50="","",SUMIF(Frequencia!$D:$D,D50,Frequencia!$P:$P))</f>
        <v>0</v>
      </c>
      <c r="I50" s="8">
        <f>IF(D50="","",SUMIF(Frequencia!$D:$D,D50,Frequencia!$Q:$Q))</f>
        <v>0</v>
      </c>
      <c r="J50" s="8">
        <f>IF(D50="","",SUMIF(Frequencia!$D:$D,D50,Frequencia!$R:$R))</f>
        <v>0</v>
      </c>
      <c r="K50" s="9">
        <f>IF(D50="","",H50/Configurações!$I$5)</f>
        <v>0</v>
      </c>
    </row>
    <row r="51" spans="4:11">
      <c r="D51">
        <f>Cadastro!B51</f>
        <v>0</v>
      </c>
      <c r="E51">
        <f>Cadastro!C51</f>
        <v>0</v>
      </c>
      <c r="F51">
        <f>Cadastro!D51</f>
        <v>0</v>
      </c>
      <c r="G51">
        <f>Cadastro!F51</f>
        <v>0</v>
      </c>
      <c r="H51" s="8">
        <f>IF(D51="","",SUMIF(Frequencia!$D:$D,D51,Frequencia!$P:$P))</f>
        <v>0</v>
      </c>
      <c r="I51" s="8">
        <f>IF(D51="","",SUMIF(Frequencia!$D:$D,D51,Frequencia!$Q:$Q))</f>
        <v>0</v>
      </c>
      <c r="J51" s="8">
        <f>IF(D51="","",SUMIF(Frequencia!$D:$D,D51,Frequencia!$R:$R))</f>
        <v>0</v>
      </c>
      <c r="K51" s="9">
        <f>IF(D51="","",H51/Configurações!$I$5)</f>
        <v>0</v>
      </c>
    </row>
    <row r="52" spans="4:11">
      <c r="D52">
        <f>Cadastro!B52</f>
        <v>0</v>
      </c>
      <c r="E52">
        <f>Cadastro!C52</f>
        <v>0</v>
      </c>
      <c r="F52">
        <f>Cadastro!D52</f>
        <v>0</v>
      </c>
      <c r="G52">
        <f>Cadastro!F52</f>
        <v>0</v>
      </c>
      <c r="H52" s="8">
        <f>IF(D52="","",SUMIF(Frequencia!$D:$D,D52,Frequencia!$P:$P))</f>
        <v>0</v>
      </c>
      <c r="I52" s="8">
        <f>IF(D52="","",SUMIF(Frequencia!$D:$D,D52,Frequencia!$Q:$Q))</f>
        <v>0</v>
      </c>
      <c r="J52" s="8">
        <f>IF(D52="","",SUMIF(Frequencia!$D:$D,D52,Frequencia!$R:$R))</f>
        <v>0</v>
      </c>
      <c r="K52" s="9">
        <f>IF(D52="","",H52/Configurações!$I$5)</f>
        <v>0</v>
      </c>
    </row>
    <row r="53" spans="4:11">
      <c r="D53">
        <f>Cadastro!B53</f>
        <v>0</v>
      </c>
      <c r="E53">
        <f>Cadastro!C53</f>
        <v>0</v>
      </c>
      <c r="F53">
        <f>Cadastro!D53</f>
        <v>0</v>
      </c>
      <c r="G53">
        <f>Cadastro!F53</f>
        <v>0</v>
      </c>
      <c r="H53" s="8">
        <f>IF(D53="","",SUMIF(Frequencia!$D:$D,D53,Frequencia!$P:$P))</f>
        <v>0</v>
      </c>
      <c r="I53" s="8">
        <f>IF(D53="","",SUMIF(Frequencia!$D:$D,D53,Frequencia!$Q:$Q))</f>
        <v>0</v>
      </c>
      <c r="J53" s="8">
        <f>IF(D53="","",SUMIF(Frequencia!$D:$D,D53,Frequencia!$R:$R))</f>
        <v>0</v>
      </c>
      <c r="K53" s="9">
        <f>IF(D53="","",H53/Configurações!$I$5)</f>
        <v>0</v>
      </c>
    </row>
    <row r="54" spans="4:11">
      <c r="D54">
        <f>Cadastro!B54</f>
        <v>0</v>
      </c>
      <c r="E54">
        <f>Cadastro!C54</f>
        <v>0</v>
      </c>
      <c r="F54">
        <f>Cadastro!D54</f>
        <v>0</v>
      </c>
      <c r="G54">
        <f>Cadastro!F54</f>
        <v>0</v>
      </c>
      <c r="H54" s="8">
        <f>IF(D54="","",SUMIF(Frequencia!$D:$D,D54,Frequencia!$P:$P))</f>
        <v>0</v>
      </c>
      <c r="I54" s="8">
        <f>IF(D54="","",SUMIF(Frequencia!$D:$D,D54,Frequencia!$Q:$Q))</f>
        <v>0</v>
      </c>
      <c r="J54" s="8">
        <f>IF(D54="","",SUMIF(Frequencia!$D:$D,D54,Frequencia!$R:$R))</f>
        <v>0</v>
      </c>
      <c r="K54" s="9">
        <f>IF(D54="","",H54/Configurações!$I$5)</f>
        <v>0</v>
      </c>
    </row>
    <row r="55" spans="4:11">
      <c r="D55">
        <f>Cadastro!B55</f>
        <v>0</v>
      </c>
      <c r="E55">
        <f>Cadastro!C55</f>
        <v>0</v>
      </c>
      <c r="F55">
        <f>Cadastro!D55</f>
        <v>0</v>
      </c>
      <c r="G55">
        <f>Cadastro!F55</f>
        <v>0</v>
      </c>
      <c r="H55" s="8">
        <f>IF(D55="","",SUMIF(Frequencia!$D:$D,D55,Frequencia!$P:$P))</f>
        <v>0</v>
      </c>
      <c r="I55" s="8">
        <f>IF(D55="","",SUMIF(Frequencia!$D:$D,D55,Frequencia!$Q:$Q))</f>
        <v>0</v>
      </c>
      <c r="J55" s="8">
        <f>IF(D55="","",SUMIF(Frequencia!$D:$D,D55,Frequencia!$R:$R))</f>
        <v>0</v>
      </c>
      <c r="K55" s="9">
        <f>IF(D55="","",H55/Configurações!$I$5)</f>
        <v>0</v>
      </c>
    </row>
    <row r="56" spans="4:11">
      <c r="D56">
        <f>Cadastro!B56</f>
        <v>0</v>
      </c>
      <c r="E56">
        <f>Cadastro!C56</f>
        <v>0</v>
      </c>
      <c r="F56">
        <f>Cadastro!D56</f>
        <v>0</v>
      </c>
      <c r="G56">
        <f>Cadastro!F56</f>
        <v>0</v>
      </c>
      <c r="H56" s="8">
        <f>IF(D56="","",SUMIF(Frequencia!$D:$D,D56,Frequencia!$P:$P))</f>
        <v>0</v>
      </c>
      <c r="I56" s="8">
        <f>IF(D56="","",SUMIF(Frequencia!$D:$D,D56,Frequencia!$Q:$Q))</f>
        <v>0</v>
      </c>
      <c r="J56" s="8">
        <f>IF(D56="","",SUMIF(Frequencia!$D:$D,D56,Frequencia!$R:$R))</f>
        <v>0</v>
      </c>
      <c r="K56" s="9">
        <f>IF(D56="","",H56/Configurações!$I$5)</f>
        <v>0</v>
      </c>
    </row>
    <row r="57" spans="4:11">
      <c r="D57">
        <f>Cadastro!B57</f>
        <v>0</v>
      </c>
      <c r="E57">
        <f>Cadastro!C57</f>
        <v>0</v>
      </c>
      <c r="F57">
        <f>Cadastro!D57</f>
        <v>0</v>
      </c>
      <c r="G57">
        <f>Cadastro!F57</f>
        <v>0</v>
      </c>
      <c r="H57" s="8">
        <f>IF(D57="","",SUMIF(Frequencia!$D:$D,D57,Frequencia!$P:$P))</f>
        <v>0</v>
      </c>
      <c r="I57" s="8">
        <f>IF(D57="","",SUMIF(Frequencia!$D:$D,D57,Frequencia!$Q:$Q))</f>
        <v>0</v>
      </c>
      <c r="J57" s="8">
        <f>IF(D57="","",SUMIF(Frequencia!$D:$D,D57,Frequencia!$R:$R))</f>
        <v>0</v>
      </c>
      <c r="K57" s="9">
        <f>IF(D57="","",H57/Configurações!$I$5)</f>
        <v>0</v>
      </c>
    </row>
    <row r="58" spans="4:11">
      <c r="D58">
        <f>Cadastro!B58</f>
        <v>0</v>
      </c>
      <c r="E58">
        <f>Cadastro!C58</f>
        <v>0</v>
      </c>
      <c r="F58">
        <f>Cadastro!D58</f>
        <v>0</v>
      </c>
      <c r="G58">
        <f>Cadastro!F58</f>
        <v>0</v>
      </c>
      <c r="H58" s="8">
        <f>IF(D58="","",SUMIF(Frequencia!$D:$D,D58,Frequencia!$P:$P))</f>
        <v>0</v>
      </c>
      <c r="I58" s="8">
        <f>IF(D58="","",SUMIF(Frequencia!$D:$D,D58,Frequencia!$Q:$Q))</f>
        <v>0</v>
      </c>
      <c r="J58" s="8">
        <f>IF(D58="","",SUMIF(Frequencia!$D:$D,D58,Frequencia!$R:$R))</f>
        <v>0</v>
      </c>
      <c r="K58" s="9">
        <f>IF(D58="","",H58/Configurações!$I$5)</f>
        <v>0</v>
      </c>
    </row>
    <row r="59" spans="4:11">
      <c r="D59">
        <f>Cadastro!B59</f>
        <v>0</v>
      </c>
      <c r="E59">
        <f>Cadastro!C59</f>
        <v>0</v>
      </c>
      <c r="F59">
        <f>Cadastro!D59</f>
        <v>0</v>
      </c>
      <c r="G59">
        <f>Cadastro!F59</f>
        <v>0</v>
      </c>
      <c r="H59" s="8">
        <f>IF(D59="","",SUMIF(Frequencia!$D:$D,D59,Frequencia!$P:$P))</f>
        <v>0</v>
      </c>
      <c r="I59" s="8">
        <f>IF(D59="","",SUMIF(Frequencia!$D:$D,D59,Frequencia!$Q:$Q))</f>
        <v>0</v>
      </c>
      <c r="J59" s="8">
        <f>IF(D59="","",SUMIF(Frequencia!$D:$D,D59,Frequencia!$R:$R))</f>
        <v>0</v>
      </c>
      <c r="K59" s="9">
        <f>IF(D59="","",H59/Configurações!$I$5)</f>
        <v>0</v>
      </c>
    </row>
    <row r="60" spans="4:11">
      <c r="D60">
        <f>Cadastro!B60</f>
        <v>0</v>
      </c>
      <c r="E60">
        <f>Cadastro!C60</f>
        <v>0</v>
      </c>
      <c r="F60">
        <f>Cadastro!D60</f>
        <v>0</v>
      </c>
      <c r="G60">
        <f>Cadastro!F60</f>
        <v>0</v>
      </c>
      <c r="H60" s="8">
        <f>IF(D60="","",SUMIF(Frequencia!$D:$D,D60,Frequencia!$P:$P))</f>
        <v>0</v>
      </c>
      <c r="I60" s="8">
        <f>IF(D60="","",SUMIF(Frequencia!$D:$D,D60,Frequencia!$Q:$Q))</f>
        <v>0</v>
      </c>
      <c r="J60" s="8">
        <f>IF(D60="","",SUMIF(Frequencia!$D:$D,D60,Frequencia!$R:$R))</f>
        <v>0</v>
      </c>
      <c r="K60" s="9">
        <f>IF(D60="","",H60/Configurações!$I$5)</f>
        <v>0</v>
      </c>
    </row>
    <row r="61" spans="4:11">
      <c r="D61">
        <f>Cadastro!B61</f>
        <v>0</v>
      </c>
      <c r="E61">
        <f>Cadastro!C61</f>
        <v>0</v>
      </c>
      <c r="F61">
        <f>Cadastro!D61</f>
        <v>0</v>
      </c>
      <c r="G61">
        <f>Cadastro!F61</f>
        <v>0</v>
      </c>
      <c r="H61" s="8">
        <f>IF(D61="","",SUMIF(Frequencia!$D:$D,D61,Frequencia!$P:$P))</f>
        <v>0</v>
      </c>
      <c r="I61" s="8">
        <f>IF(D61="","",SUMIF(Frequencia!$D:$D,D61,Frequencia!$Q:$Q))</f>
        <v>0</v>
      </c>
      <c r="J61" s="8">
        <f>IF(D61="","",SUMIF(Frequencia!$D:$D,D61,Frequencia!$R:$R))</f>
        <v>0</v>
      </c>
      <c r="K61" s="9">
        <f>IF(D61="","",H61/Configurações!$I$5)</f>
        <v>0</v>
      </c>
    </row>
    <row r="62" spans="4:11">
      <c r="D62">
        <f>Cadastro!B62</f>
        <v>0</v>
      </c>
      <c r="E62">
        <f>Cadastro!C62</f>
        <v>0</v>
      </c>
      <c r="F62">
        <f>Cadastro!D62</f>
        <v>0</v>
      </c>
      <c r="G62">
        <f>Cadastro!F62</f>
        <v>0</v>
      </c>
      <c r="H62" s="8">
        <f>IF(D62="","",SUMIF(Frequencia!$D:$D,D62,Frequencia!$P:$P))</f>
        <v>0</v>
      </c>
      <c r="I62" s="8">
        <f>IF(D62="","",SUMIF(Frequencia!$D:$D,D62,Frequencia!$Q:$Q))</f>
        <v>0</v>
      </c>
      <c r="J62" s="8">
        <f>IF(D62="","",SUMIF(Frequencia!$D:$D,D62,Frequencia!$R:$R))</f>
        <v>0</v>
      </c>
      <c r="K62" s="9">
        <f>IF(D62="","",H62/Configurações!$I$5)</f>
        <v>0</v>
      </c>
    </row>
    <row r="63" spans="4:11">
      <c r="D63">
        <f>Cadastro!B63</f>
        <v>0</v>
      </c>
      <c r="E63">
        <f>Cadastro!C63</f>
        <v>0</v>
      </c>
      <c r="F63">
        <f>Cadastro!D63</f>
        <v>0</v>
      </c>
      <c r="G63">
        <f>Cadastro!F63</f>
        <v>0</v>
      </c>
      <c r="H63" s="8">
        <f>IF(D63="","",SUMIF(Frequencia!$D:$D,D63,Frequencia!$P:$P))</f>
        <v>0</v>
      </c>
      <c r="I63" s="8">
        <f>IF(D63="","",SUMIF(Frequencia!$D:$D,D63,Frequencia!$Q:$Q))</f>
        <v>0</v>
      </c>
      <c r="J63" s="8">
        <f>IF(D63="","",SUMIF(Frequencia!$D:$D,D63,Frequencia!$R:$R))</f>
        <v>0</v>
      </c>
      <c r="K63" s="9">
        <f>IF(D63="","",H63/Configurações!$I$5)</f>
        <v>0</v>
      </c>
    </row>
    <row r="64" spans="4:11">
      <c r="D64">
        <f>Cadastro!B64</f>
        <v>0</v>
      </c>
      <c r="E64">
        <f>Cadastro!C64</f>
        <v>0</v>
      </c>
      <c r="F64">
        <f>Cadastro!D64</f>
        <v>0</v>
      </c>
      <c r="G64">
        <f>Cadastro!F64</f>
        <v>0</v>
      </c>
      <c r="H64" s="8">
        <f>IF(D64="","",SUMIF(Frequencia!$D:$D,D64,Frequencia!$P:$P))</f>
        <v>0</v>
      </c>
      <c r="I64" s="8">
        <f>IF(D64="","",SUMIF(Frequencia!$D:$D,D64,Frequencia!$Q:$Q))</f>
        <v>0</v>
      </c>
      <c r="J64" s="8">
        <f>IF(D64="","",SUMIF(Frequencia!$D:$D,D64,Frequencia!$R:$R))</f>
        <v>0</v>
      </c>
      <c r="K64" s="9">
        <f>IF(D64="","",H64/Configurações!$I$5)</f>
        <v>0</v>
      </c>
    </row>
    <row r="65" spans="4:11">
      <c r="D65">
        <f>Cadastro!B65</f>
        <v>0</v>
      </c>
      <c r="E65">
        <f>Cadastro!C65</f>
        <v>0</v>
      </c>
      <c r="F65">
        <f>Cadastro!D65</f>
        <v>0</v>
      </c>
      <c r="G65">
        <f>Cadastro!F65</f>
        <v>0</v>
      </c>
      <c r="H65" s="8">
        <f>IF(D65="","",SUMIF(Frequencia!$D:$D,D65,Frequencia!$P:$P))</f>
        <v>0</v>
      </c>
      <c r="I65" s="8">
        <f>IF(D65="","",SUMIF(Frequencia!$D:$D,D65,Frequencia!$Q:$Q))</f>
        <v>0</v>
      </c>
      <c r="J65" s="8">
        <f>IF(D65="","",SUMIF(Frequencia!$D:$D,D65,Frequencia!$R:$R))</f>
        <v>0</v>
      </c>
      <c r="K65" s="9">
        <f>IF(D65="","",H65/Configurações!$I$5)</f>
        <v>0</v>
      </c>
    </row>
    <row r="66" spans="4:11">
      <c r="D66">
        <f>Cadastro!B66</f>
        <v>0</v>
      </c>
      <c r="E66">
        <f>Cadastro!C66</f>
        <v>0</v>
      </c>
      <c r="F66">
        <f>Cadastro!D66</f>
        <v>0</v>
      </c>
      <c r="G66">
        <f>Cadastro!F66</f>
        <v>0</v>
      </c>
      <c r="H66" s="8">
        <f>IF(D66="","",SUMIF(Frequencia!$D:$D,D66,Frequencia!$P:$P))</f>
        <v>0</v>
      </c>
      <c r="I66" s="8">
        <f>IF(D66="","",SUMIF(Frequencia!$D:$D,D66,Frequencia!$Q:$Q))</f>
        <v>0</v>
      </c>
      <c r="J66" s="8">
        <f>IF(D66="","",SUMIF(Frequencia!$D:$D,D66,Frequencia!$R:$R))</f>
        <v>0</v>
      </c>
      <c r="K66" s="9">
        <f>IF(D66="","",H66/Configurações!$I$5)</f>
        <v>0</v>
      </c>
    </row>
    <row r="67" spans="4:11">
      <c r="D67">
        <f>Cadastro!B67</f>
        <v>0</v>
      </c>
      <c r="E67">
        <f>Cadastro!C67</f>
        <v>0</v>
      </c>
      <c r="F67">
        <f>Cadastro!D67</f>
        <v>0</v>
      </c>
      <c r="G67">
        <f>Cadastro!F67</f>
        <v>0</v>
      </c>
      <c r="H67" s="8">
        <f>IF(D67="","",SUMIF(Frequencia!$D:$D,D67,Frequencia!$P:$P))</f>
        <v>0</v>
      </c>
      <c r="I67" s="8">
        <f>IF(D67="","",SUMIF(Frequencia!$D:$D,D67,Frequencia!$Q:$Q))</f>
        <v>0</v>
      </c>
      <c r="J67" s="8">
        <f>IF(D67="","",SUMIF(Frequencia!$D:$D,D67,Frequencia!$R:$R))</f>
        <v>0</v>
      </c>
      <c r="K67" s="9">
        <f>IF(D67="","",H67/Configurações!$I$5)</f>
        <v>0</v>
      </c>
    </row>
    <row r="68" spans="4:11">
      <c r="D68">
        <f>Cadastro!B68</f>
        <v>0</v>
      </c>
      <c r="E68">
        <f>Cadastro!C68</f>
        <v>0</v>
      </c>
      <c r="F68">
        <f>Cadastro!D68</f>
        <v>0</v>
      </c>
      <c r="G68">
        <f>Cadastro!F68</f>
        <v>0</v>
      </c>
      <c r="H68" s="8">
        <f>IF(D68="","",SUMIF(Frequencia!$D:$D,D68,Frequencia!$P:$P))</f>
        <v>0</v>
      </c>
      <c r="I68" s="8">
        <f>IF(D68="","",SUMIF(Frequencia!$D:$D,D68,Frequencia!$Q:$Q))</f>
        <v>0</v>
      </c>
      <c r="J68" s="8">
        <f>IF(D68="","",SUMIF(Frequencia!$D:$D,D68,Frequencia!$R:$R))</f>
        <v>0</v>
      </c>
      <c r="K68" s="9">
        <f>IF(D68="","",H68/Configurações!$I$5)</f>
        <v>0</v>
      </c>
    </row>
    <row r="69" spans="4:11">
      <c r="D69">
        <f>Cadastro!B69</f>
        <v>0</v>
      </c>
      <c r="E69">
        <f>Cadastro!C69</f>
        <v>0</v>
      </c>
      <c r="F69">
        <f>Cadastro!D69</f>
        <v>0</v>
      </c>
      <c r="G69">
        <f>Cadastro!F69</f>
        <v>0</v>
      </c>
      <c r="H69" s="8">
        <f>IF(D69="","",SUMIF(Frequencia!$D:$D,D69,Frequencia!$P:$P))</f>
        <v>0</v>
      </c>
      <c r="I69" s="8">
        <f>IF(D69="","",SUMIF(Frequencia!$D:$D,D69,Frequencia!$Q:$Q))</f>
        <v>0</v>
      </c>
      <c r="J69" s="8">
        <f>IF(D69="","",SUMIF(Frequencia!$D:$D,D69,Frequencia!$R:$R))</f>
        <v>0</v>
      </c>
      <c r="K69" s="9">
        <f>IF(D69="","",H69/Configurações!$I$5)</f>
        <v>0</v>
      </c>
    </row>
    <row r="70" spans="4:11">
      <c r="D70">
        <f>Cadastro!B70</f>
        <v>0</v>
      </c>
      <c r="E70">
        <f>Cadastro!C70</f>
        <v>0</v>
      </c>
      <c r="F70">
        <f>Cadastro!D70</f>
        <v>0</v>
      </c>
      <c r="G70">
        <f>Cadastro!F70</f>
        <v>0</v>
      </c>
      <c r="H70" s="8">
        <f>IF(D70="","",SUMIF(Frequencia!$D:$D,D70,Frequencia!$P:$P))</f>
        <v>0</v>
      </c>
      <c r="I70" s="8">
        <f>IF(D70="","",SUMIF(Frequencia!$D:$D,D70,Frequencia!$Q:$Q))</f>
        <v>0</v>
      </c>
      <c r="J70" s="8">
        <f>IF(D70="","",SUMIF(Frequencia!$D:$D,D70,Frequencia!$R:$R))</f>
        <v>0</v>
      </c>
      <c r="K70" s="9">
        <f>IF(D70="","",H70/Configurações!$I$5)</f>
        <v>0</v>
      </c>
    </row>
    <row r="71" spans="4:11">
      <c r="D71">
        <f>Cadastro!B71</f>
        <v>0</v>
      </c>
      <c r="E71">
        <f>Cadastro!C71</f>
        <v>0</v>
      </c>
      <c r="F71">
        <f>Cadastro!D71</f>
        <v>0</v>
      </c>
      <c r="G71">
        <f>Cadastro!F71</f>
        <v>0</v>
      </c>
      <c r="H71" s="8">
        <f>IF(D71="","",SUMIF(Frequencia!$D:$D,D71,Frequencia!$P:$P))</f>
        <v>0</v>
      </c>
      <c r="I71" s="8">
        <f>IF(D71="","",SUMIF(Frequencia!$D:$D,D71,Frequencia!$Q:$Q))</f>
        <v>0</v>
      </c>
      <c r="J71" s="8">
        <f>IF(D71="","",SUMIF(Frequencia!$D:$D,D71,Frequencia!$R:$R))</f>
        <v>0</v>
      </c>
      <c r="K71" s="9">
        <f>IF(D71="","",H71/Configurações!$I$5)</f>
        <v>0</v>
      </c>
    </row>
    <row r="72" spans="4:11">
      <c r="D72">
        <f>Cadastro!B72</f>
        <v>0</v>
      </c>
      <c r="E72">
        <f>Cadastro!C72</f>
        <v>0</v>
      </c>
      <c r="F72">
        <f>Cadastro!D72</f>
        <v>0</v>
      </c>
      <c r="G72">
        <f>Cadastro!F72</f>
        <v>0</v>
      </c>
      <c r="H72" s="8">
        <f>IF(D72="","",SUMIF(Frequencia!$D:$D,D72,Frequencia!$P:$P))</f>
        <v>0</v>
      </c>
      <c r="I72" s="8">
        <f>IF(D72="","",SUMIF(Frequencia!$D:$D,D72,Frequencia!$Q:$Q))</f>
        <v>0</v>
      </c>
      <c r="J72" s="8">
        <f>IF(D72="","",SUMIF(Frequencia!$D:$D,D72,Frequencia!$R:$R))</f>
        <v>0</v>
      </c>
      <c r="K72" s="9">
        <f>IF(D72="","",H72/Configurações!$I$5)</f>
        <v>0</v>
      </c>
    </row>
    <row r="73" spans="4:11">
      <c r="D73">
        <f>Cadastro!B73</f>
        <v>0</v>
      </c>
      <c r="E73">
        <f>Cadastro!C73</f>
        <v>0</v>
      </c>
      <c r="F73">
        <f>Cadastro!D73</f>
        <v>0</v>
      </c>
      <c r="G73">
        <f>Cadastro!F73</f>
        <v>0</v>
      </c>
      <c r="H73" s="8">
        <f>IF(D73="","",SUMIF(Frequencia!$D:$D,D73,Frequencia!$P:$P))</f>
        <v>0</v>
      </c>
      <c r="I73" s="8">
        <f>IF(D73="","",SUMIF(Frequencia!$D:$D,D73,Frequencia!$Q:$Q))</f>
        <v>0</v>
      </c>
      <c r="J73" s="8">
        <f>IF(D73="","",SUMIF(Frequencia!$D:$D,D73,Frequencia!$R:$R))</f>
        <v>0</v>
      </c>
      <c r="K73" s="9">
        <f>IF(D73="","",H73/Configurações!$I$5)</f>
        <v>0</v>
      </c>
    </row>
    <row r="74" spans="4:11">
      <c r="D74">
        <f>Cadastro!B74</f>
        <v>0</v>
      </c>
      <c r="E74">
        <f>Cadastro!C74</f>
        <v>0</v>
      </c>
      <c r="F74">
        <f>Cadastro!D74</f>
        <v>0</v>
      </c>
      <c r="G74">
        <f>Cadastro!F74</f>
        <v>0</v>
      </c>
      <c r="H74" s="8">
        <f>IF(D74="","",SUMIF(Frequencia!$D:$D,D74,Frequencia!$P:$P))</f>
        <v>0</v>
      </c>
      <c r="I74" s="8">
        <f>IF(D74="","",SUMIF(Frequencia!$D:$D,D74,Frequencia!$Q:$Q))</f>
        <v>0</v>
      </c>
      <c r="J74" s="8">
        <f>IF(D74="","",SUMIF(Frequencia!$D:$D,D74,Frequencia!$R:$R))</f>
        <v>0</v>
      </c>
      <c r="K74" s="9">
        <f>IF(D74="","",H74/Configurações!$I$5)</f>
        <v>0</v>
      </c>
    </row>
    <row r="75" spans="4:11">
      <c r="D75">
        <f>Cadastro!B75</f>
        <v>0</v>
      </c>
      <c r="E75">
        <f>Cadastro!C75</f>
        <v>0</v>
      </c>
      <c r="F75">
        <f>Cadastro!D75</f>
        <v>0</v>
      </c>
      <c r="G75">
        <f>Cadastro!F75</f>
        <v>0</v>
      </c>
      <c r="H75" s="8">
        <f>IF(D75="","",SUMIF(Frequencia!$D:$D,D75,Frequencia!$P:$P))</f>
        <v>0</v>
      </c>
      <c r="I75" s="8">
        <f>IF(D75="","",SUMIF(Frequencia!$D:$D,D75,Frequencia!$Q:$Q))</f>
        <v>0</v>
      </c>
      <c r="J75" s="8">
        <f>IF(D75="","",SUMIF(Frequencia!$D:$D,D75,Frequencia!$R:$R))</f>
        <v>0</v>
      </c>
      <c r="K75" s="9">
        <f>IF(D75="","",H75/Configurações!$I$5)</f>
        <v>0</v>
      </c>
    </row>
    <row r="76" spans="4:11">
      <c r="D76">
        <f>Cadastro!B76</f>
        <v>0</v>
      </c>
      <c r="E76">
        <f>Cadastro!C76</f>
        <v>0</v>
      </c>
      <c r="F76">
        <f>Cadastro!D76</f>
        <v>0</v>
      </c>
      <c r="G76">
        <f>Cadastro!F76</f>
        <v>0</v>
      </c>
      <c r="H76" s="8">
        <f>IF(D76="","",SUMIF(Frequencia!$D:$D,D76,Frequencia!$P:$P))</f>
        <v>0</v>
      </c>
      <c r="I76" s="8">
        <f>IF(D76="","",SUMIF(Frequencia!$D:$D,D76,Frequencia!$Q:$Q))</f>
        <v>0</v>
      </c>
      <c r="J76" s="8">
        <f>IF(D76="","",SUMIF(Frequencia!$D:$D,D76,Frequencia!$R:$R))</f>
        <v>0</v>
      </c>
      <c r="K76" s="9">
        <f>IF(D76="","",H76/Configurações!$I$5)</f>
        <v>0</v>
      </c>
    </row>
    <row r="77" spans="4:11">
      <c r="D77">
        <f>Cadastro!B77</f>
        <v>0</v>
      </c>
      <c r="E77">
        <f>Cadastro!C77</f>
        <v>0</v>
      </c>
      <c r="F77">
        <f>Cadastro!D77</f>
        <v>0</v>
      </c>
      <c r="G77">
        <f>Cadastro!F77</f>
        <v>0</v>
      </c>
      <c r="H77" s="8">
        <f>IF(D77="","",SUMIF(Frequencia!$D:$D,D77,Frequencia!$P:$P))</f>
        <v>0</v>
      </c>
      <c r="I77" s="8">
        <f>IF(D77="","",SUMIF(Frequencia!$D:$D,D77,Frequencia!$Q:$Q))</f>
        <v>0</v>
      </c>
      <c r="J77" s="8">
        <f>IF(D77="","",SUMIF(Frequencia!$D:$D,D77,Frequencia!$R:$R))</f>
        <v>0</v>
      </c>
      <c r="K77" s="9">
        <f>IF(D77="","",H77/Configurações!$I$5)</f>
        <v>0</v>
      </c>
    </row>
    <row r="78" spans="4:11">
      <c r="D78">
        <f>Cadastro!B78</f>
        <v>0</v>
      </c>
      <c r="E78">
        <f>Cadastro!C78</f>
        <v>0</v>
      </c>
      <c r="F78">
        <f>Cadastro!D78</f>
        <v>0</v>
      </c>
      <c r="G78">
        <f>Cadastro!F78</f>
        <v>0</v>
      </c>
      <c r="H78" s="8">
        <f>IF(D78="","",SUMIF(Frequencia!$D:$D,D78,Frequencia!$P:$P))</f>
        <v>0</v>
      </c>
      <c r="I78" s="8">
        <f>IF(D78="","",SUMIF(Frequencia!$D:$D,D78,Frequencia!$Q:$Q))</f>
        <v>0</v>
      </c>
      <c r="J78" s="8">
        <f>IF(D78="","",SUMIF(Frequencia!$D:$D,D78,Frequencia!$R:$R))</f>
        <v>0</v>
      </c>
      <c r="K78" s="9">
        <f>IF(D78="","",H78/Configurações!$I$5)</f>
        <v>0</v>
      </c>
    </row>
    <row r="79" spans="4:11">
      <c r="D79">
        <f>Cadastro!B79</f>
        <v>0</v>
      </c>
      <c r="E79">
        <f>Cadastro!C79</f>
        <v>0</v>
      </c>
      <c r="F79">
        <f>Cadastro!D79</f>
        <v>0</v>
      </c>
      <c r="G79">
        <f>Cadastro!F79</f>
        <v>0</v>
      </c>
      <c r="H79" s="8">
        <f>IF(D79="","",SUMIF(Frequencia!$D:$D,D79,Frequencia!$P:$P))</f>
        <v>0</v>
      </c>
      <c r="I79" s="8">
        <f>IF(D79="","",SUMIF(Frequencia!$D:$D,D79,Frequencia!$Q:$Q))</f>
        <v>0</v>
      </c>
      <c r="J79" s="8">
        <f>IF(D79="","",SUMIF(Frequencia!$D:$D,D79,Frequencia!$R:$R))</f>
        <v>0</v>
      </c>
      <c r="K79" s="9">
        <f>IF(D79="","",H79/Configurações!$I$5)</f>
        <v>0</v>
      </c>
    </row>
    <row r="80" spans="4:11">
      <c r="D80">
        <f>Cadastro!B80</f>
        <v>0</v>
      </c>
      <c r="E80">
        <f>Cadastro!C80</f>
        <v>0</v>
      </c>
      <c r="F80">
        <f>Cadastro!D80</f>
        <v>0</v>
      </c>
      <c r="G80">
        <f>Cadastro!F80</f>
        <v>0</v>
      </c>
      <c r="H80" s="8">
        <f>IF(D80="","",SUMIF(Frequencia!$D:$D,D80,Frequencia!$P:$P))</f>
        <v>0</v>
      </c>
      <c r="I80" s="8">
        <f>IF(D80="","",SUMIF(Frequencia!$D:$D,D80,Frequencia!$Q:$Q))</f>
        <v>0</v>
      </c>
      <c r="J80" s="8">
        <f>IF(D80="","",SUMIF(Frequencia!$D:$D,D80,Frequencia!$R:$R))</f>
        <v>0</v>
      </c>
      <c r="K80" s="9">
        <f>IF(D80="","",H80/Configurações!$I$5)</f>
        <v>0</v>
      </c>
    </row>
    <row r="81" spans="4:11">
      <c r="D81">
        <f>Cadastro!B81</f>
        <v>0</v>
      </c>
      <c r="E81">
        <f>Cadastro!C81</f>
        <v>0</v>
      </c>
      <c r="F81">
        <f>Cadastro!D81</f>
        <v>0</v>
      </c>
      <c r="G81">
        <f>Cadastro!F81</f>
        <v>0</v>
      </c>
      <c r="H81" s="8">
        <f>IF(D81="","",SUMIF(Frequencia!$D:$D,D81,Frequencia!$P:$P))</f>
        <v>0</v>
      </c>
      <c r="I81" s="8">
        <f>IF(D81="","",SUMIF(Frequencia!$D:$D,D81,Frequencia!$Q:$Q))</f>
        <v>0</v>
      </c>
      <c r="J81" s="8">
        <f>IF(D81="","",SUMIF(Frequencia!$D:$D,D81,Frequencia!$R:$R))</f>
        <v>0</v>
      </c>
      <c r="K81" s="9">
        <f>IF(D81="","",H81/Configurações!$I$5)</f>
        <v>0</v>
      </c>
    </row>
    <row r="82" spans="4:11">
      <c r="D82">
        <f>Cadastro!B82</f>
        <v>0</v>
      </c>
      <c r="E82">
        <f>Cadastro!C82</f>
        <v>0</v>
      </c>
      <c r="F82">
        <f>Cadastro!D82</f>
        <v>0</v>
      </c>
      <c r="G82">
        <f>Cadastro!F82</f>
        <v>0</v>
      </c>
      <c r="H82" s="8">
        <f>IF(D82="","",SUMIF(Frequencia!$D:$D,D82,Frequencia!$P:$P))</f>
        <v>0</v>
      </c>
      <c r="I82" s="8">
        <f>IF(D82="","",SUMIF(Frequencia!$D:$D,D82,Frequencia!$Q:$Q))</f>
        <v>0</v>
      </c>
      <c r="J82" s="8">
        <f>IF(D82="","",SUMIF(Frequencia!$D:$D,D82,Frequencia!$R:$R))</f>
        <v>0</v>
      </c>
      <c r="K82" s="9">
        <f>IF(D82="","",H82/Configurações!$I$5)</f>
        <v>0</v>
      </c>
    </row>
    <row r="83" spans="4:11">
      <c r="D83">
        <f>Cadastro!B83</f>
        <v>0</v>
      </c>
      <c r="E83">
        <f>Cadastro!C83</f>
        <v>0</v>
      </c>
      <c r="F83">
        <f>Cadastro!D83</f>
        <v>0</v>
      </c>
      <c r="G83">
        <f>Cadastro!F83</f>
        <v>0</v>
      </c>
      <c r="H83" s="8">
        <f>IF(D83="","",SUMIF(Frequencia!$D:$D,D83,Frequencia!$P:$P))</f>
        <v>0</v>
      </c>
      <c r="I83" s="8">
        <f>IF(D83="","",SUMIF(Frequencia!$D:$D,D83,Frequencia!$Q:$Q))</f>
        <v>0</v>
      </c>
      <c r="J83" s="8">
        <f>IF(D83="","",SUMIF(Frequencia!$D:$D,D83,Frequencia!$R:$R))</f>
        <v>0</v>
      </c>
      <c r="K83" s="9">
        <f>IF(D83="","",H83/Configurações!$I$5)</f>
        <v>0</v>
      </c>
    </row>
    <row r="84" spans="4:11">
      <c r="D84">
        <f>Cadastro!B84</f>
        <v>0</v>
      </c>
      <c r="E84">
        <f>Cadastro!C84</f>
        <v>0</v>
      </c>
      <c r="F84">
        <f>Cadastro!D84</f>
        <v>0</v>
      </c>
      <c r="G84">
        <f>Cadastro!F84</f>
        <v>0</v>
      </c>
      <c r="H84" s="8">
        <f>IF(D84="","",SUMIF(Frequencia!$D:$D,D84,Frequencia!$P:$P))</f>
        <v>0</v>
      </c>
      <c r="I84" s="8">
        <f>IF(D84="","",SUMIF(Frequencia!$D:$D,D84,Frequencia!$Q:$Q))</f>
        <v>0</v>
      </c>
      <c r="J84" s="8">
        <f>IF(D84="","",SUMIF(Frequencia!$D:$D,D84,Frequencia!$R:$R))</f>
        <v>0</v>
      </c>
      <c r="K84" s="9">
        <f>IF(D84="","",H84/Configurações!$I$5)</f>
        <v>0</v>
      </c>
    </row>
    <row r="85" spans="4:11">
      <c r="D85">
        <f>Cadastro!B85</f>
        <v>0</v>
      </c>
      <c r="E85">
        <f>Cadastro!C85</f>
        <v>0</v>
      </c>
      <c r="F85">
        <f>Cadastro!D85</f>
        <v>0</v>
      </c>
      <c r="G85">
        <f>Cadastro!F85</f>
        <v>0</v>
      </c>
      <c r="H85" s="8">
        <f>IF(D85="","",SUMIF(Frequencia!$D:$D,D85,Frequencia!$P:$P))</f>
        <v>0</v>
      </c>
      <c r="I85" s="8">
        <f>IF(D85="","",SUMIF(Frequencia!$D:$D,D85,Frequencia!$Q:$Q))</f>
        <v>0</v>
      </c>
      <c r="J85" s="8">
        <f>IF(D85="","",SUMIF(Frequencia!$D:$D,D85,Frequencia!$R:$R))</f>
        <v>0</v>
      </c>
      <c r="K85" s="9">
        <f>IF(D85="","",H85/Configurações!$I$5)</f>
        <v>0</v>
      </c>
    </row>
    <row r="86" spans="4:11">
      <c r="D86">
        <f>Cadastro!B86</f>
        <v>0</v>
      </c>
      <c r="E86">
        <f>Cadastro!C86</f>
        <v>0</v>
      </c>
      <c r="F86">
        <f>Cadastro!D86</f>
        <v>0</v>
      </c>
      <c r="G86">
        <f>Cadastro!F86</f>
        <v>0</v>
      </c>
      <c r="H86" s="8">
        <f>IF(D86="","",SUMIF(Frequencia!$D:$D,D86,Frequencia!$P:$P))</f>
        <v>0</v>
      </c>
      <c r="I86" s="8">
        <f>IF(D86="","",SUMIF(Frequencia!$D:$D,D86,Frequencia!$Q:$Q))</f>
        <v>0</v>
      </c>
      <c r="J86" s="8">
        <f>IF(D86="","",SUMIF(Frequencia!$D:$D,D86,Frequencia!$R:$R))</f>
        <v>0</v>
      </c>
      <c r="K86" s="9">
        <f>IF(D86="","",H86/Configurações!$I$5)</f>
        <v>0</v>
      </c>
    </row>
    <row r="87" spans="4:11">
      <c r="D87">
        <f>Cadastro!B87</f>
        <v>0</v>
      </c>
      <c r="E87">
        <f>Cadastro!C87</f>
        <v>0</v>
      </c>
      <c r="F87">
        <f>Cadastro!D87</f>
        <v>0</v>
      </c>
      <c r="G87">
        <f>Cadastro!F87</f>
        <v>0</v>
      </c>
      <c r="H87" s="8">
        <f>IF(D87="","",SUMIF(Frequencia!$D:$D,D87,Frequencia!$P:$P))</f>
        <v>0</v>
      </c>
      <c r="I87" s="8">
        <f>IF(D87="","",SUMIF(Frequencia!$D:$D,D87,Frequencia!$Q:$Q))</f>
        <v>0</v>
      </c>
      <c r="J87" s="8">
        <f>IF(D87="","",SUMIF(Frequencia!$D:$D,D87,Frequencia!$R:$R))</f>
        <v>0</v>
      </c>
      <c r="K87" s="9">
        <f>IF(D87="","",H87/Configurações!$I$5)</f>
        <v>0</v>
      </c>
    </row>
    <row r="88" spans="4:11">
      <c r="D88">
        <f>Cadastro!B88</f>
        <v>0</v>
      </c>
      <c r="E88">
        <f>Cadastro!C88</f>
        <v>0</v>
      </c>
      <c r="F88">
        <f>Cadastro!D88</f>
        <v>0</v>
      </c>
      <c r="G88">
        <f>Cadastro!F88</f>
        <v>0</v>
      </c>
      <c r="H88" s="8">
        <f>IF(D88="","",SUMIF(Frequencia!$D:$D,D88,Frequencia!$P:$P))</f>
        <v>0</v>
      </c>
      <c r="I88" s="8">
        <f>IF(D88="","",SUMIF(Frequencia!$D:$D,D88,Frequencia!$Q:$Q))</f>
        <v>0</v>
      </c>
      <c r="J88" s="8">
        <f>IF(D88="","",SUMIF(Frequencia!$D:$D,D88,Frequencia!$R:$R))</f>
        <v>0</v>
      </c>
      <c r="K88" s="9">
        <f>IF(D88="","",H88/Configurações!$I$5)</f>
        <v>0</v>
      </c>
    </row>
    <row r="89" spans="4:11">
      <c r="D89">
        <f>Cadastro!B89</f>
        <v>0</v>
      </c>
      <c r="E89">
        <f>Cadastro!C89</f>
        <v>0</v>
      </c>
      <c r="F89">
        <f>Cadastro!D89</f>
        <v>0</v>
      </c>
      <c r="G89">
        <f>Cadastro!F89</f>
        <v>0</v>
      </c>
      <c r="H89" s="8">
        <f>IF(D89="","",SUMIF(Frequencia!$D:$D,D89,Frequencia!$P:$P))</f>
        <v>0</v>
      </c>
      <c r="I89" s="8">
        <f>IF(D89="","",SUMIF(Frequencia!$D:$D,D89,Frequencia!$Q:$Q))</f>
        <v>0</v>
      </c>
      <c r="J89" s="8">
        <f>IF(D89="","",SUMIF(Frequencia!$D:$D,D89,Frequencia!$R:$R))</f>
        <v>0</v>
      </c>
      <c r="K89" s="9">
        <f>IF(D89="","",H89/Configurações!$I$5)</f>
        <v>0</v>
      </c>
    </row>
    <row r="90" spans="4:11">
      <c r="D90">
        <f>Cadastro!B90</f>
        <v>0</v>
      </c>
      <c r="E90">
        <f>Cadastro!C90</f>
        <v>0</v>
      </c>
      <c r="F90">
        <f>Cadastro!D90</f>
        <v>0</v>
      </c>
      <c r="G90">
        <f>Cadastro!F90</f>
        <v>0</v>
      </c>
      <c r="H90" s="8">
        <f>IF(D90="","",SUMIF(Frequencia!$D:$D,D90,Frequencia!$P:$P))</f>
        <v>0</v>
      </c>
      <c r="I90" s="8">
        <f>IF(D90="","",SUMIF(Frequencia!$D:$D,D90,Frequencia!$Q:$Q))</f>
        <v>0</v>
      </c>
      <c r="J90" s="8">
        <f>IF(D90="","",SUMIF(Frequencia!$D:$D,D90,Frequencia!$R:$R))</f>
        <v>0</v>
      </c>
      <c r="K90" s="9">
        <f>IF(D90="","",H90/Configurações!$I$5)</f>
        <v>0</v>
      </c>
    </row>
    <row r="91" spans="4:11">
      <c r="D91">
        <f>Cadastro!B91</f>
        <v>0</v>
      </c>
      <c r="E91">
        <f>Cadastro!C91</f>
        <v>0</v>
      </c>
      <c r="F91">
        <f>Cadastro!D91</f>
        <v>0</v>
      </c>
      <c r="G91">
        <f>Cadastro!F91</f>
        <v>0</v>
      </c>
      <c r="H91" s="8">
        <f>IF(D91="","",SUMIF(Frequencia!$D:$D,D91,Frequencia!$P:$P))</f>
        <v>0</v>
      </c>
      <c r="I91" s="8">
        <f>IF(D91="","",SUMIF(Frequencia!$D:$D,D91,Frequencia!$Q:$Q))</f>
        <v>0</v>
      </c>
      <c r="J91" s="8">
        <f>IF(D91="","",SUMIF(Frequencia!$D:$D,D91,Frequencia!$R:$R))</f>
        <v>0</v>
      </c>
      <c r="K91" s="9">
        <f>IF(D91="","",H91/Configurações!$I$5)</f>
        <v>0</v>
      </c>
    </row>
    <row r="92" spans="4:11">
      <c r="D92">
        <f>Cadastro!B92</f>
        <v>0</v>
      </c>
      <c r="E92">
        <f>Cadastro!C92</f>
        <v>0</v>
      </c>
      <c r="F92">
        <f>Cadastro!D92</f>
        <v>0</v>
      </c>
      <c r="G92">
        <f>Cadastro!F92</f>
        <v>0</v>
      </c>
      <c r="H92" s="8">
        <f>IF(D92="","",SUMIF(Frequencia!$D:$D,D92,Frequencia!$P:$P))</f>
        <v>0</v>
      </c>
      <c r="I92" s="8">
        <f>IF(D92="","",SUMIF(Frequencia!$D:$D,D92,Frequencia!$Q:$Q))</f>
        <v>0</v>
      </c>
      <c r="J92" s="8">
        <f>IF(D92="","",SUMIF(Frequencia!$D:$D,D92,Frequencia!$R:$R))</f>
        <v>0</v>
      </c>
      <c r="K92" s="9">
        <f>IF(D92="","",H92/Configurações!$I$5)</f>
        <v>0</v>
      </c>
    </row>
    <row r="93" spans="4:11">
      <c r="D93">
        <f>Cadastro!B93</f>
        <v>0</v>
      </c>
      <c r="E93">
        <f>Cadastro!C93</f>
        <v>0</v>
      </c>
      <c r="F93">
        <f>Cadastro!D93</f>
        <v>0</v>
      </c>
      <c r="G93">
        <f>Cadastro!F93</f>
        <v>0</v>
      </c>
      <c r="H93" s="8">
        <f>IF(D93="","",SUMIF(Frequencia!$D:$D,D93,Frequencia!$P:$P))</f>
        <v>0</v>
      </c>
      <c r="I93" s="8">
        <f>IF(D93="","",SUMIF(Frequencia!$D:$D,D93,Frequencia!$Q:$Q))</f>
        <v>0</v>
      </c>
      <c r="J93" s="8">
        <f>IF(D93="","",SUMIF(Frequencia!$D:$D,D93,Frequencia!$R:$R))</f>
        <v>0</v>
      </c>
      <c r="K93" s="9">
        <f>IF(D93="","",H93/Configurações!$I$5)</f>
        <v>0</v>
      </c>
    </row>
    <row r="94" spans="4:11">
      <c r="D94">
        <f>Cadastro!B94</f>
        <v>0</v>
      </c>
      <c r="E94">
        <f>Cadastro!C94</f>
        <v>0</v>
      </c>
      <c r="F94">
        <f>Cadastro!D94</f>
        <v>0</v>
      </c>
      <c r="G94">
        <f>Cadastro!F94</f>
        <v>0</v>
      </c>
      <c r="H94" s="8">
        <f>IF(D94="","",SUMIF(Frequencia!$D:$D,D94,Frequencia!$P:$P))</f>
        <v>0</v>
      </c>
      <c r="I94" s="8">
        <f>IF(D94="","",SUMIF(Frequencia!$D:$D,D94,Frequencia!$Q:$Q))</f>
        <v>0</v>
      </c>
      <c r="J94" s="8">
        <f>IF(D94="","",SUMIF(Frequencia!$D:$D,D94,Frequencia!$R:$R))</f>
        <v>0</v>
      </c>
      <c r="K94" s="9">
        <f>IF(D94="","",H94/Configurações!$I$5)</f>
        <v>0</v>
      </c>
    </row>
    <row r="95" spans="4:11">
      <c r="D95">
        <f>Cadastro!B95</f>
        <v>0</v>
      </c>
      <c r="E95">
        <f>Cadastro!C95</f>
        <v>0</v>
      </c>
      <c r="F95">
        <f>Cadastro!D95</f>
        <v>0</v>
      </c>
      <c r="G95">
        <f>Cadastro!F95</f>
        <v>0</v>
      </c>
      <c r="H95" s="8">
        <f>IF(D95="","",SUMIF(Frequencia!$D:$D,D95,Frequencia!$P:$P))</f>
        <v>0</v>
      </c>
      <c r="I95" s="8">
        <f>IF(D95="","",SUMIF(Frequencia!$D:$D,D95,Frequencia!$Q:$Q))</f>
        <v>0</v>
      </c>
      <c r="J95" s="8">
        <f>IF(D95="","",SUMIF(Frequencia!$D:$D,D95,Frequencia!$R:$R))</f>
        <v>0</v>
      </c>
      <c r="K95" s="9">
        <f>IF(D95="","",H95/Configurações!$I$5)</f>
        <v>0</v>
      </c>
    </row>
    <row r="96" spans="4:11">
      <c r="D96">
        <f>Cadastro!B96</f>
        <v>0</v>
      </c>
      <c r="E96">
        <f>Cadastro!C96</f>
        <v>0</v>
      </c>
      <c r="F96">
        <f>Cadastro!D96</f>
        <v>0</v>
      </c>
      <c r="G96">
        <f>Cadastro!F96</f>
        <v>0</v>
      </c>
      <c r="H96" s="8">
        <f>IF(D96="","",SUMIF(Frequencia!$D:$D,D96,Frequencia!$P:$P))</f>
        <v>0</v>
      </c>
      <c r="I96" s="8">
        <f>IF(D96="","",SUMIF(Frequencia!$D:$D,D96,Frequencia!$Q:$Q))</f>
        <v>0</v>
      </c>
      <c r="J96" s="8">
        <f>IF(D96="","",SUMIF(Frequencia!$D:$D,D96,Frequencia!$R:$R))</f>
        <v>0</v>
      </c>
      <c r="K96" s="9">
        <f>IF(D96="","",H96/Configurações!$I$5)</f>
        <v>0</v>
      </c>
    </row>
    <row r="97" spans="4:11">
      <c r="D97">
        <f>Cadastro!B97</f>
        <v>0</v>
      </c>
      <c r="E97">
        <f>Cadastro!C97</f>
        <v>0</v>
      </c>
      <c r="F97">
        <f>Cadastro!D97</f>
        <v>0</v>
      </c>
      <c r="G97">
        <f>Cadastro!F97</f>
        <v>0</v>
      </c>
      <c r="H97" s="8">
        <f>IF(D97="","",SUMIF(Frequencia!$D:$D,D97,Frequencia!$P:$P))</f>
        <v>0</v>
      </c>
      <c r="I97" s="8">
        <f>IF(D97="","",SUMIF(Frequencia!$D:$D,D97,Frequencia!$Q:$Q))</f>
        <v>0</v>
      </c>
      <c r="J97" s="8">
        <f>IF(D97="","",SUMIF(Frequencia!$D:$D,D97,Frequencia!$R:$R))</f>
        <v>0</v>
      </c>
      <c r="K97" s="9">
        <f>IF(D97="","",H97/Configurações!$I$5)</f>
        <v>0</v>
      </c>
    </row>
    <row r="98" spans="4:11">
      <c r="D98">
        <f>Cadastro!B98</f>
        <v>0</v>
      </c>
      <c r="E98">
        <f>Cadastro!C98</f>
        <v>0</v>
      </c>
      <c r="F98">
        <f>Cadastro!D98</f>
        <v>0</v>
      </c>
      <c r="G98">
        <f>Cadastro!F98</f>
        <v>0</v>
      </c>
      <c r="H98" s="8">
        <f>IF(D98="","",SUMIF(Frequencia!$D:$D,D98,Frequencia!$P:$P))</f>
        <v>0</v>
      </c>
      <c r="I98" s="8">
        <f>IF(D98="","",SUMIF(Frequencia!$D:$D,D98,Frequencia!$Q:$Q))</f>
        <v>0</v>
      </c>
      <c r="J98" s="8">
        <f>IF(D98="","",SUMIF(Frequencia!$D:$D,D98,Frequencia!$R:$R))</f>
        <v>0</v>
      </c>
      <c r="K98" s="9">
        <f>IF(D98="","",H98/Configurações!$I$5)</f>
        <v>0</v>
      </c>
    </row>
    <row r="99" spans="4:11">
      <c r="D99">
        <f>Cadastro!B99</f>
        <v>0</v>
      </c>
      <c r="E99">
        <f>Cadastro!C99</f>
        <v>0</v>
      </c>
      <c r="F99">
        <f>Cadastro!D99</f>
        <v>0</v>
      </c>
      <c r="G99">
        <f>Cadastro!F99</f>
        <v>0</v>
      </c>
      <c r="H99" s="8">
        <f>IF(D99="","",SUMIF(Frequencia!$D:$D,D99,Frequencia!$P:$P))</f>
        <v>0</v>
      </c>
      <c r="I99" s="8">
        <f>IF(D99="","",SUMIF(Frequencia!$D:$D,D99,Frequencia!$Q:$Q))</f>
        <v>0</v>
      </c>
      <c r="J99" s="8">
        <f>IF(D99="","",SUMIF(Frequencia!$D:$D,D99,Frequencia!$R:$R))</f>
        <v>0</v>
      </c>
      <c r="K99" s="9">
        <f>IF(D99="","",H99/Configurações!$I$5)</f>
        <v>0</v>
      </c>
    </row>
    <row r="100" spans="4:11">
      <c r="D100">
        <f>Cadastro!B100</f>
        <v>0</v>
      </c>
      <c r="E100">
        <f>Cadastro!C100</f>
        <v>0</v>
      </c>
      <c r="F100">
        <f>Cadastro!D100</f>
        <v>0</v>
      </c>
      <c r="G100">
        <f>Cadastro!F100</f>
        <v>0</v>
      </c>
      <c r="H100" s="8">
        <f>IF(D100="","",SUMIF(Frequencia!$D:$D,D100,Frequencia!$P:$P))</f>
        <v>0</v>
      </c>
      <c r="I100" s="8">
        <f>IF(D100="","",SUMIF(Frequencia!$D:$D,D100,Frequencia!$Q:$Q))</f>
        <v>0</v>
      </c>
      <c r="J100" s="8">
        <f>IF(D100="","",SUMIF(Frequencia!$D:$D,D100,Frequencia!$R:$R))</f>
        <v>0</v>
      </c>
      <c r="K100" s="9">
        <f>IF(D100="","",H100/Configurações!$I$5)</f>
        <v>0</v>
      </c>
    </row>
  </sheetData>
  <mergeCells count="1">
    <mergeCell ref="A1:N1"/>
  </mergeCells>
  <conditionalFormatting sqref="K4:K100">
    <cfRule type="dataBar" priority="1">
      <dataBar>
        <cfvo type="min"/>
        <cfvo type="max"/>
        <color rgb="FF0EA5E9"/>
      </dataBar>
    </cfRule>
    <cfRule type="dataBar" priority="2">
      <dataBar>
        <cfvo type="min"/>
        <cfvo type="max"/>
        <color rgb="FF0EA5E9"/>
      </dataBar>
      <extLst>
        <ext xmlns:x14="http://schemas.microsoft.com/office/spreadsheetml/2009/9/main" uri="{B025F937-C7B1-47D3-B67F-A62EFF666E3E}">
          <x14:id>{E5D2A047-4238-8741-E2B3-85669B88D1C8}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D2A047-4238-8741-E2B3-85669B88D1C8}">
            <x14:dataBar>
              <x14:cfvo type="min"/>
              <x14:cfvo type="max"/>
              <x14:negativeFillColor auto="1"/>
              <x14:axisColor auto="1"/>
            </x14:dataBar>
          </x14:cfRule>
          <xm:sqref>K4:K100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4"/>
  <sheetViews>
    <sheetView workbookViewId="0">
      <selection sqref="A1:H1"/>
    </sheetView>
  </sheetViews>
  <sheetFormatPr defaultRowHeight="14.25"/>
  <cols>
    <col min="1" max="1" width="24" customWidth="1"/>
    <col min="2" max="2" width="28" customWidth="1"/>
  </cols>
  <sheetData>
    <row r="1" spans="1:26" ht="32.1" customHeight="1">
      <c r="A1" s="14" t="s">
        <v>135</v>
      </c>
      <c r="B1" s="15"/>
      <c r="C1" s="15"/>
      <c r="D1" s="15"/>
      <c r="E1" s="15"/>
      <c r="F1" s="15"/>
      <c r="G1" s="15"/>
      <c r="H1" s="1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3" spans="1:26">
      <c r="A3" t="s">
        <v>136</v>
      </c>
    </row>
    <row r="5" spans="1:26" ht="15">
      <c r="A5" s="1" t="s">
        <v>127</v>
      </c>
      <c r="B5" s="1" t="s">
        <v>32</v>
      </c>
    </row>
    <row r="6" spans="1:26">
      <c r="A6" t="s">
        <v>79</v>
      </c>
      <c r="B6" t="str">
        <f>IFERROR(VLOOKUP($B$3,Cadastro!$B$4:$H$100,2,FALSE),"")</f>
        <v/>
      </c>
    </row>
    <row r="7" spans="1:26">
      <c r="A7" t="s">
        <v>26</v>
      </c>
      <c r="B7" t="str">
        <f>IFERROR(VLOOKUP($B$3,Cadastro!$B$4:$H$100,3,FALSE),"")</f>
        <v/>
      </c>
    </row>
    <row r="8" spans="1:26">
      <c r="A8" t="s">
        <v>28</v>
      </c>
      <c r="B8" t="str">
        <f>IFERROR(VLOOKUP($B$3,Cadastro!$B$4:$H$100,5,FALSE),"")</f>
        <v/>
      </c>
    </row>
    <row r="9" spans="1:26">
      <c r="A9" t="s">
        <v>137</v>
      </c>
      <c r="B9">
        <f>Configurações!$I$5</f>
        <v>2880</v>
      </c>
    </row>
    <row r="10" spans="1:26">
      <c r="A10" t="s">
        <v>138</v>
      </c>
      <c r="B10" s="8">
        <f>SUMIF(Frequencia!$D:$D,$B$3,Frequencia!$P:$P)</f>
        <v>0</v>
      </c>
    </row>
    <row r="11" spans="1:26">
      <c r="A11" t="s">
        <v>124</v>
      </c>
      <c r="B11" s="8">
        <f>SUMIF(Frequencia!$D:$D,$B$3,Frequencia!$Q:$Q)</f>
        <v>0</v>
      </c>
    </row>
    <row r="12" spans="1:26">
      <c r="A12" t="s">
        <v>125</v>
      </c>
      <c r="B12" s="8">
        <f>SUMIF(Frequencia!$D:$D,$B$3,Frequencia!$R:$R)</f>
        <v>0</v>
      </c>
    </row>
    <row r="13" spans="1:26">
      <c r="A13" t="s">
        <v>139</v>
      </c>
      <c r="B13" s="8">
        <f>MAX(0,B9-B10)</f>
        <v>2880</v>
      </c>
    </row>
    <row r="14" spans="1:26">
      <c r="A14" t="s">
        <v>140</v>
      </c>
      <c r="B14" s="9">
        <f>IFERROR(B10/B9,0)</f>
        <v>0</v>
      </c>
    </row>
  </sheetData>
  <mergeCells count="1">
    <mergeCell ref="A1:H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700-000000000000}">
          <x14:formula1>
            <xm:f>Cadastro!$B$4:$B$100</xm:f>
          </x14:formula1>
          <xm:sqref>B3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Home</vt:lpstr>
      <vt:lpstr>Configurações</vt:lpstr>
      <vt:lpstr>Cadastro</vt:lpstr>
      <vt:lpstr>Preceptores</vt:lpstr>
      <vt:lpstr>Cenários</vt:lpstr>
      <vt:lpstr>Frequencia</vt:lpstr>
      <vt:lpstr>Dashboard</vt:lpstr>
      <vt:lpstr>Relatorio_Individual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Souza Gonçalves Martinovski</dc:creator>
  <cp:lastModifiedBy>Juliana Souza Gonçalves Martinovski</cp:lastModifiedBy>
  <dcterms:created xsi:type="dcterms:W3CDTF">2026-07-03T17:22:46Z</dcterms:created>
  <dcterms:modified xsi:type="dcterms:W3CDTF">2026-07-03T17:22:46Z</dcterms:modified>
</cp:coreProperties>
</file>